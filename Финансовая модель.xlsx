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rtem\Desktop\"/>
    </mc:Choice>
  </mc:AlternateContent>
  <xr:revisionPtr revIDLastSave="0" documentId="13_ncr:1_{426F87BC-48D6-442C-8048-8FFF317772A7}" xr6:coauthVersionLast="47" xr6:coauthVersionMax="47" xr10:uidLastSave="{00000000-0000-0000-0000-000000000000}"/>
  <bookViews>
    <workbookView xWindow="1170" yWindow="1170" windowWidth="43200" windowHeight="23445" xr2:uid="{00000000-000D-0000-FFFF-FFFF00000000}"/>
  </bookViews>
  <sheets>
    <sheet name="Инвестиции" sheetId="1" r:id="rId1"/>
    <sheet name="Доходы" sheetId="2" r:id="rId2"/>
    <sheet name="Расходы" sheetId="3" r:id="rId3"/>
    <sheet name="ФОТ" sheetId="4" r:id="rId4"/>
    <sheet name="БДР" sheetId="5" r:id="rId5"/>
    <sheet name="ОДДС" sheetId="6" r:id="rId6"/>
    <sheet name="Безубыточность" sheetId="7" r:id="rId7"/>
    <sheet name="Показатели эффективности" sheetId="9" r:id="rId8"/>
    <sheet name="Резюме" sheetId="10" r:id="rId9"/>
    <sheet name="Сценарии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7" l="1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C29" i="7"/>
  <c r="I18" i="7"/>
  <c r="D6" i="10"/>
  <c r="C6" i="10"/>
  <c r="B6" i="10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L3" i="7"/>
  <c r="AK3" i="7"/>
  <c r="AJ3" i="7"/>
  <c r="AI3" i="7"/>
  <c r="AH3" i="7"/>
  <c r="AG3" i="7"/>
  <c r="AF3" i="7"/>
  <c r="AE3" i="7"/>
  <c r="AD3" i="7"/>
  <c r="AC3" i="7"/>
  <c r="AB3" i="7"/>
  <c r="AB5" i="7" s="1"/>
  <c r="AA3" i="7"/>
  <c r="Z3" i="7"/>
  <c r="Y3" i="7"/>
  <c r="X3" i="7"/>
  <c r="W3" i="7"/>
  <c r="V3" i="7"/>
  <c r="U3" i="7"/>
  <c r="T3" i="7"/>
  <c r="S3" i="7"/>
  <c r="R3" i="7"/>
  <c r="Q3" i="7"/>
  <c r="P3" i="7"/>
  <c r="P5" i="7" s="1"/>
  <c r="O3" i="7"/>
  <c r="N3" i="7"/>
  <c r="M3" i="7"/>
  <c r="L3" i="7"/>
  <c r="K3" i="7"/>
  <c r="J3" i="7"/>
  <c r="I3" i="7"/>
  <c r="H3" i="7"/>
  <c r="G3" i="7"/>
  <c r="F3" i="7"/>
  <c r="E3" i="7"/>
  <c r="D3" i="7"/>
  <c r="D5" i="7" s="1"/>
  <c r="C3" i="7"/>
  <c r="AG12" i="6"/>
  <c r="C8" i="6"/>
  <c r="AM5" i="6"/>
  <c r="D25" i="5"/>
  <c r="AL10" i="5"/>
  <c r="AK10" i="5"/>
  <c r="AJ10" i="5"/>
  <c r="AI10" i="5"/>
  <c r="AH10" i="5"/>
  <c r="AG10" i="5"/>
  <c r="AF10" i="5"/>
  <c r="AE10" i="5"/>
  <c r="AD10" i="5"/>
  <c r="AC10" i="5"/>
  <c r="AB10" i="5"/>
  <c r="D27" i="5" s="1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C26" i="5" s="1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B26" i="5" s="1"/>
  <c r="C9" i="5"/>
  <c r="AL8" i="5"/>
  <c r="AL12" i="6" s="1"/>
  <c r="AK8" i="5"/>
  <c r="AK12" i="6" s="1"/>
  <c r="AJ8" i="5"/>
  <c r="AJ12" i="6" s="1"/>
  <c r="AI8" i="5"/>
  <c r="AI12" i="6" s="1"/>
  <c r="AH8" i="5"/>
  <c r="AH12" i="6" s="1"/>
  <c r="AG8" i="5"/>
  <c r="AF8" i="5"/>
  <c r="AF12" i="6" s="1"/>
  <c r="AE8" i="5"/>
  <c r="AE12" i="6" s="1"/>
  <c r="AD8" i="5"/>
  <c r="AD12" i="6" s="1"/>
  <c r="AC8" i="5"/>
  <c r="AC12" i="6" s="1"/>
  <c r="AB8" i="5"/>
  <c r="AB12" i="6" s="1"/>
  <c r="AA8" i="5"/>
  <c r="AA12" i="6" s="1"/>
  <c r="Z8" i="5"/>
  <c r="Z12" i="6" s="1"/>
  <c r="Y8" i="5"/>
  <c r="Y12" i="6" s="1"/>
  <c r="X8" i="5"/>
  <c r="X12" i="6" s="1"/>
  <c r="W8" i="5"/>
  <c r="W12" i="6" s="1"/>
  <c r="V8" i="5"/>
  <c r="V12" i="6" s="1"/>
  <c r="U8" i="5"/>
  <c r="U12" i="6" s="1"/>
  <c r="T8" i="5"/>
  <c r="T12" i="6" s="1"/>
  <c r="S8" i="5"/>
  <c r="S12" i="6" s="1"/>
  <c r="R8" i="5"/>
  <c r="R12" i="6" s="1"/>
  <c r="Q8" i="5"/>
  <c r="Q12" i="6" s="1"/>
  <c r="P8" i="5"/>
  <c r="P12" i="6" s="1"/>
  <c r="O8" i="5"/>
  <c r="O12" i="6" s="1"/>
  <c r="N8" i="5"/>
  <c r="N12" i="6" s="1"/>
  <c r="M8" i="5"/>
  <c r="M12" i="6" s="1"/>
  <c r="L8" i="5"/>
  <c r="L12" i="6" s="1"/>
  <c r="K8" i="5"/>
  <c r="K12" i="6" s="1"/>
  <c r="J8" i="5"/>
  <c r="J12" i="6" s="1"/>
  <c r="I8" i="5"/>
  <c r="I12" i="6" s="1"/>
  <c r="H8" i="5"/>
  <c r="H12" i="6" s="1"/>
  <c r="G8" i="5"/>
  <c r="G12" i="6" s="1"/>
  <c r="F8" i="5"/>
  <c r="F12" i="6" s="1"/>
  <c r="E8" i="5"/>
  <c r="E12" i="6" s="1"/>
  <c r="D8" i="5"/>
  <c r="D12" i="6" s="1"/>
  <c r="C8" i="5"/>
  <c r="N7" i="5"/>
  <c r="N11" i="6" s="1"/>
  <c r="L7" i="5"/>
  <c r="L11" i="6" s="1"/>
  <c r="AJ6" i="5"/>
  <c r="Z6" i="5"/>
  <c r="X6" i="5"/>
  <c r="V6" i="5"/>
  <c r="O6" i="5"/>
  <c r="N6" i="5"/>
  <c r="L6" i="5"/>
  <c r="J6" i="5"/>
  <c r="J10" i="6" s="1"/>
  <c r="AL6" i="4"/>
  <c r="AL7" i="5" s="1"/>
  <c r="AL11" i="6" s="1"/>
  <c r="AA6" i="4"/>
  <c r="AA7" i="5" s="1"/>
  <c r="Z6" i="4"/>
  <c r="Z7" i="5" s="1"/>
  <c r="Z11" i="6" s="1"/>
  <c r="X6" i="4"/>
  <c r="X7" i="5" s="1"/>
  <c r="X11" i="6" s="1"/>
  <c r="W6" i="4"/>
  <c r="W7" i="5" s="1"/>
  <c r="W11" i="6" s="1"/>
  <c r="V6" i="4"/>
  <c r="V7" i="5" s="1"/>
  <c r="V11" i="6" s="1"/>
  <c r="N6" i="4"/>
  <c r="L6" i="4"/>
  <c r="K6" i="4"/>
  <c r="K7" i="5" s="1"/>
  <c r="K11" i="6" s="1"/>
  <c r="J6" i="4"/>
  <c r="J7" i="5" s="1"/>
  <c r="J11" i="6" s="1"/>
  <c r="I6" i="4"/>
  <c r="I7" i="5" s="1"/>
  <c r="I11" i="6" s="1"/>
  <c r="AL5" i="4"/>
  <c r="AL6" i="5" s="1"/>
  <c r="AK5" i="4"/>
  <c r="AK6" i="5" s="1"/>
  <c r="AJ5" i="4"/>
  <c r="AJ6" i="4" s="1"/>
  <c r="AJ7" i="5" s="1"/>
  <c r="AJ11" i="6" s="1"/>
  <c r="AI5" i="4"/>
  <c r="AH5" i="4"/>
  <c r="AH6" i="5" s="1"/>
  <c r="AG5" i="4"/>
  <c r="AF5" i="4"/>
  <c r="AE5" i="4"/>
  <c r="AE6" i="5" s="1"/>
  <c r="AD5" i="4"/>
  <c r="AD6" i="5" s="1"/>
  <c r="AC5" i="4"/>
  <c r="AB5" i="4"/>
  <c r="AB6" i="5" s="1"/>
  <c r="AA5" i="4"/>
  <c r="AA6" i="5" s="1"/>
  <c r="Z5" i="4"/>
  <c r="Y5" i="4"/>
  <c r="Y6" i="5" s="1"/>
  <c r="X5" i="4"/>
  <c r="W5" i="4"/>
  <c r="W6" i="5" s="1"/>
  <c r="V5" i="4"/>
  <c r="U5" i="4"/>
  <c r="U6" i="5" s="1"/>
  <c r="T5" i="4"/>
  <c r="T6" i="5" s="1"/>
  <c r="S5" i="4"/>
  <c r="S6" i="5" s="1"/>
  <c r="R5" i="4"/>
  <c r="R6" i="5" s="1"/>
  <c r="Q5" i="4"/>
  <c r="Q6" i="5" s="1"/>
  <c r="P5" i="4"/>
  <c r="P6" i="5" s="1"/>
  <c r="O5" i="4"/>
  <c r="O6" i="4" s="1"/>
  <c r="O7" i="5" s="1"/>
  <c r="N5" i="4"/>
  <c r="M5" i="4"/>
  <c r="M6" i="5" s="1"/>
  <c r="L5" i="4"/>
  <c r="K5" i="4"/>
  <c r="K6" i="5" s="1"/>
  <c r="J5" i="4"/>
  <c r="I5" i="4"/>
  <c r="I6" i="5" s="1"/>
  <c r="H5" i="4"/>
  <c r="H6" i="5" s="1"/>
  <c r="H10" i="6" s="1"/>
  <c r="G5" i="4"/>
  <c r="G6" i="5" s="1"/>
  <c r="F5" i="4"/>
  <c r="F6" i="5" s="1"/>
  <c r="E5" i="4"/>
  <c r="E6" i="5" s="1"/>
  <c r="D5" i="4"/>
  <c r="D6" i="5" s="1"/>
  <c r="C5" i="4"/>
  <c r="C6" i="5" s="1"/>
  <c r="AI26" i="3"/>
  <c r="AH26" i="3"/>
  <c r="AG26" i="3"/>
  <c r="AF26" i="3"/>
  <c r="AB26" i="3"/>
  <c r="AB27" i="3" s="1"/>
  <c r="AB3" i="5" s="1"/>
  <c r="AB9" i="6" s="1"/>
  <c r="Y26" i="3"/>
  <c r="U26" i="3"/>
  <c r="T26" i="3"/>
  <c r="T27" i="3" s="1"/>
  <c r="T3" i="5" s="1"/>
  <c r="T9" i="6" s="1"/>
  <c r="S26" i="3"/>
  <c r="P26" i="3"/>
  <c r="P27" i="3" s="1"/>
  <c r="P3" i="5" s="1"/>
  <c r="P9" i="6" s="1"/>
  <c r="O26" i="3"/>
  <c r="L26" i="3"/>
  <c r="H26" i="3"/>
  <c r="G26" i="3"/>
  <c r="AL25" i="3"/>
  <c r="AL26" i="3" s="1"/>
  <c r="AK25" i="3"/>
  <c r="AJ25" i="3"/>
  <c r="AJ26" i="3" s="1"/>
  <c r="AI25" i="3"/>
  <c r="AH25" i="3"/>
  <c r="AG25" i="3"/>
  <c r="AF25" i="3"/>
  <c r="AE25" i="3"/>
  <c r="AD25" i="3"/>
  <c r="AC25" i="3"/>
  <c r="AC26" i="3" s="1"/>
  <c r="AB25" i="3"/>
  <c r="AA25" i="3"/>
  <c r="AA26" i="3" s="1"/>
  <c r="Z25" i="3"/>
  <c r="Z26" i="3" s="1"/>
  <c r="Y25" i="3"/>
  <c r="X25" i="3"/>
  <c r="X26" i="3" s="1"/>
  <c r="X27" i="3" s="1"/>
  <c r="X3" i="5" s="1"/>
  <c r="X9" i="6" s="1"/>
  <c r="W25" i="3"/>
  <c r="W26" i="3" s="1"/>
  <c r="V25" i="3"/>
  <c r="U25" i="3"/>
  <c r="T25" i="3"/>
  <c r="S25" i="3"/>
  <c r="R25" i="3"/>
  <c r="Q25" i="3"/>
  <c r="Q26" i="3" s="1"/>
  <c r="P25" i="3"/>
  <c r="O25" i="3"/>
  <c r="N25" i="3"/>
  <c r="N26" i="3" s="1"/>
  <c r="M25" i="3"/>
  <c r="M26" i="3" s="1"/>
  <c r="L25" i="3"/>
  <c r="K25" i="3"/>
  <c r="K26" i="3" s="1"/>
  <c r="J25" i="3"/>
  <c r="I25" i="3"/>
  <c r="I26" i="3" s="1"/>
  <c r="H25" i="3"/>
  <c r="G25" i="3"/>
  <c r="F25" i="3"/>
  <c r="E25" i="3"/>
  <c r="E26" i="3" s="1"/>
  <c r="D25" i="3"/>
  <c r="D26" i="3" s="1"/>
  <c r="C25" i="3"/>
  <c r="C26" i="3" s="1"/>
  <c r="AL22" i="3"/>
  <c r="AL23" i="3" s="1"/>
  <c r="AK22" i="3"/>
  <c r="AK23" i="3" s="1"/>
  <c r="AJ22" i="3"/>
  <c r="AJ23" i="3" s="1"/>
  <c r="AI22" i="3"/>
  <c r="AI23" i="3" s="1"/>
  <c r="AH22" i="3"/>
  <c r="AH23" i="3" s="1"/>
  <c r="AG22" i="3"/>
  <c r="AG23" i="3" s="1"/>
  <c r="AF22" i="3"/>
  <c r="AF23" i="3" s="1"/>
  <c r="AF27" i="3" s="1"/>
  <c r="AF3" i="5" s="1"/>
  <c r="AF9" i="6" s="1"/>
  <c r="AE22" i="3"/>
  <c r="AE23" i="3" s="1"/>
  <c r="AD22" i="3"/>
  <c r="AD23" i="3" s="1"/>
  <c r="AC22" i="3"/>
  <c r="AC23" i="3" s="1"/>
  <c r="AB22" i="3"/>
  <c r="AB23" i="3" s="1"/>
  <c r="AA22" i="3"/>
  <c r="AA23" i="3" s="1"/>
  <c r="Z22" i="3"/>
  <c r="Z23" i="3" s="1"/>
  <c r="Y22" i="3"/>
  <c r="Y23" i="3" s="1"/>
  <c r="X22" i="3"/>
  <c r="X23" i="3" s="1"/>
  <c r="W22" i="3"/>
  <c r="W23" i="3" s="1"/>
  <c r="V22" i="3"/>
  <c r="V23" i="3" s="1"/>
  <c r="U22" i="3"/>
  <c r="U23" i="3" s="1"/>
  <c r="T22" i="3"/>
  <c r="T23" i="3" s="1"/>
  <c r="S22" i="3"/>
  <c r="S23" i="3" s="1"/>
  <c r="R22" i="3"/>
  <c r="R23" i="3" s="1"/>
  <c r="Q22" i="3"/>
  <c r="Q23" i="3" s="1"/>
  <c r="P22" i="3"/>
  <c r="P23" i="3" s="1"/>
  <c r="O22" i="3"/>
  <c r="O23" i="3" s="1"/>
  <c r="N22" i="3"/>
  <c r="N23" i="3" s="1"/>
  <c r="M22" i="3"/>
  <c r="M23" i="3" s="1"/>
  <c r="L22" i="3"/>
  <c r="L23" i="3" s="1"/>
  <c r="L27" i="3" s="1"/>
  <c r="L3" i="5" s="1"/>
  <c r="L9" i="6" s="1"/>
  <c r="K22" i="3"/>
  <c r="K23" i="3" s="1"/>
  <c r="J22" i="3"/>
  <c r="J23" i="3" s="1"/>
  <c r="I22" i="3"/>
  <c r="I23" i="3" s="1"/>
  <c r="H22" i="3"/>
  <c r="H23" i="3" s="1"/>
  <c r="G22" i="3"/>
  <c r="F22" i="3"/>
  <c r="F23" i="3" s="1"/>
  <c r="E22" i="3"/>
  <c r="E23" i="3" s="1"/>
  <c r="D22" i="3"/>
  <c r="D23" i="3" s="1"/>
  <c r="C22" i="3"/>
  <c r="C23" i="3" s="1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Y14" i="7" s="1"/>
  <c r="X15" i="3"/>
  <c r="W15" i="3"/>
  <c r="V15" i="3"/>
  <c r="V26" i="3" s="1"/>
  <c r="V27" i="3" s="1"/>
  <c r="V3" i="5" s="1"/>
  <c r="V9" i="6" s="1"/>
  <c r="U15" i="3"/>
  <c r="T15" i="3"/>
  <c r="S15" i="3"/>
  <c r="R15" i="3"/>
  <c r="Q15" i="3"/>
  <c r="P15" i="3"/>
  <c r="O15" i="3"/>
  <c r="N15" i="3"/>
  <c r="M15" i="3"/>
  <c r="L15" i="3"/>
  <c r="K15" i="3"/>
  <c r="J15" i="3"/>
  <c r="J26" i="3" s="1"/>
  <c r="J27" i="3" s="1"/>
  <c r="J3" i="5" s="1"/>
  <c r="J9" i="6" s="1"/>
  <c r="I15" i="3"/>
  <c r="H15" i="3"/>
  <c r="G15" i="3"/>
  <c r="F15" i="3"/>
  <c r="E15" i="3"/>
  <c r="D15" i="3"/>
  <c r="C15" i="3"/>
  <c r="AL8" i="3"/>
  <c r="AL4" i="7" s="1"/>
  <c r="AK8" i="3"/>
  <c r="AK4" i="7" s="1"/>
  <c r="AK5" i="7" s="1"/>
  <c r="AJ8" i="3"/>
  <c r="AJ4" i="7" s="1"/>
  <c r="AI8" i="3"/>
  <c r="AI4" i="7" s="1"/>
  <c r="AH8" i="3"/>
  <c r="AH4" i="7" s="1"/>
  <c r="AG8" i="3"/>
  <c r="AG4" i="7" s="1"/>
  <c r="AF8" i="3"/>
  <c r="AF4" i="7" s="1"/>
  <c r="AE8" i="3"/>
  <c r="AE4" i="7" s="1"/>
  <c r="AD8" i="3"/>
  <c r="AD4" i="7" s="1"/>
  <c r="AC8" i="3"/>
  <c r="AC4" i="7" s="1"/>
  <c r="AB8" i="3"/>
  <c r="AB4" i="7" s="1"/>
  <c r="AA8" i="3"/>
  <c r="AA4" i="7" s="1"/>
  <c r="Z8" i="3"/>
  <c r="Z4" i="7" s="1"/>
  <c r="Y8" i="3"/>
  <c r="Y4" i="7" s="1"/>
  <c r="Y5" i="7" s="1"/>
  <c r="X8" i="3"/>
  <c r="X4" i="7" s="1"/>
  <c r="W8" i="3"/>
  <c r="W4" i="7" s="1"/>
  <c r="V8" i="3"/>
  <c r="V4" i="7" s="1"/>
  <c r="U8" i="3"/>
  <c r="U4" i="7" s="1"/>
  <c r="T8" i="3"/>
  <c r="T4" i="7" s="1"/>
  <c r="S8" i="3"/>
  <c r="S4" i="7" s="1"/>
  <c r="S5" i="7" s="1"/>
  <c r="R8" i="3"/>
  <c r="R4" i="7" s="1"/>
  <c r="Q8" i="3"/>
  <c r="Q4" i="7" s="1"/>
  <c r="P8" i="3"/>
  <c r="P4" i="7" s="1"/>
  <c r="O8" i="3"/>
  <c r="O4" i="7" s="1"/>
  <c r="N8" i="3"/>
  <c r="N4" i="7" s="1"/>
  <c r="M8" i="3"/>
  <c r="M4" i="7" s="1"/>
  <c r="M5" i="7" s="1"/>
  <c r="L8" i="3"/>
  <c r="L4" i="7" s="1"/>
  <c r="K8" i="3"/>
  <c r="K4" i="7" s="1"/>
  <c r="J8" i="3"/>
  <c r="J4" i="7" s="1"/>
  <c r="I8" i="3"/>
  <c r="I4" i="7" s="1"/>
  <c r="H8" i="3"/>
  <c r="H4" i="7" s="1"/>
  <c r="G8" i="3"/>
  <c r="G4" i="7" s="1"/>
  <c r="F8" i="3"/>
  <c r="F4" i="7" s="1"/>
  <c r="E8" i="3"/>
  <c r="E4" i="7" s="1"/>
  <c r="D8" i="3"/>
  <c r="D4" i="7" s="1"/>
  <c r="C8" i="3"/>
  <c r="C4" i="7" s="1"/>
  <c r="AF10" i="2"/>
  <c r="AF2" i="5" s="1"/>
  <c r="S10" i="2"/>
  <c r="S2" i="5" s="1"/>
  <c r="N10" i="2"/>
  <c r="N2" i="5" s="1"/>
  <c r="AL9" i="2"/>
  <c r="AL10" i="2" s="1"/>
  <c r="AL2" i="5" s="1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R10" i="2" s="1"/>
  <c r="R2" i="5" s="1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L5" i="2"/>
  <c r="AK5" i="2"/>
  <c r="AK10" i="2" s="1"/>
  <c r="AK2" i="5" s="1"/>
  <c r="AJ5" i="2"/>
  <c r="AJ10" i="2" s="1"/>
  <c r="AJ2" i="5" s="1"/>
  <c r="AI5" i="2"/>
  <c r="AI10" i="2" s="1"/>
  <c r="AI2" i="5" s="1"/>
  <c r="AH5" i="2"/>
  <c r="AH10" i="2" s="1"/>
  <c r="AH2" i="5" s="1"/>
  <c r="AG5" i="2"/>
  <c r="AG10" i="2" s="1"/>
  <c r="AG2" i="5" s="1"/>
  <c r="AF5" i="2"/>
  <c r="AE5" i="2"/>
  <c r="AE10" i="2" s="1"/>
  <c r="AE2" i="5" s="1"/>
  <c r="AD5" i="2"/>
  <c r="AD10" i="2" s="1"/>
  <c r="AD2" i="5" s="1"/>
  <c r="AC5" i="2"/>
  <c r="AC10" i="2" s="1"/>
  <c r="AC2" i="5" s="1"/>
  <c r="AB5" i="2"/>
  <c r="AB10" i="2" s="1"/>
  <c r="AB2" i="5" s="1"/>
  <c r="AA5" i="2"/>
  <c r="AA10" i="2" s="1"/>
  <c r="AA2" i="5" s="1"/>
  <c r="Z5" i="2"/>
  <c r="Z10" i="2" s="1"/>
  <c r="Z2" i="5" s="1"/>
  <c r="Y5" i="2"/>
  <c r="Y10" i="2" s="1"/>
  <c r="Y2" i="5" s="1"/>
  <c r="X5" i="2"/>
  <c r="X10" i="2" s="1"/>
  <c r="X2" i="5" s="1"/>
  <c r="W5" i="2"/>
  <c r="W10" i="2" s="1"/>
  <c r="W2" i="5" s="1"/>
  <c r="V5" i="2"/>
  <c r="V10" i="2" s="1"/>
  <c r="V2" i="5" s="1"/>
  <c r="U5" i="2"/>
  <c r="U10" i="2" s="1"/>
  <c r="U2" i="5" s="1"/>
  <c r="T5" i="2"/>
  <c r="T10" i="2" s="1"/>
  <c r="T2" i="5" s="1"/>
  <c r="S5" i="2"/>
  <c r="R5" i="2"/>
  <c r="Q5" i="2"/>
  <c r="Q10" i="2" s="1"/>
  <c r="Q2" i="5" s="1"/>
  <c r="P5" i="2"/>
  <c r="P10" i="2" s="1"/>
  <c r="P2" i="5" s="1"/>
  <c r="O5" i="2"/>
  <c r="O10" i="2" s="1"/>
  <c r="O2" i="5" s="1"/>
  <c r="N5" i="2"/>
  <c r="M5" i="2"/>
  <c r="M10" i="2" s="1"/>
  <c r="M2" i="5" s="1"/>
  <c r="L5" i="2"/>
  <c r="L10" i="2" s="1"/>
  <c r="L2" i="5" s="1"/>
  <c r="K5" i="2"/>
  <c r="K10" i="2" s="1"/>
  <c r="K2" i="5" s="1"/>
  <c r="J5" i="2"/>
  <c r="J10" i="2" s="1"/>
  <c r="J2" i="5" s="1"/>
  <c r="I5" i="2"/>
  <c r="I10" i="2" s="1"/>
  <c r="I2" i="5" s="1"/>
  <c r="H5" i="2"/>
  <c r="H10" i="2" s="1"/>
  <c r="H2" i="5" s="1"/>
  <c r="G5" i="2"/>
  <c r="G10" i="2" s="1"/>
  <c r="G2" i="5" s="1"/>
  <c r="F5" i="2"/>
  <c r="F10" i="2" s="1"/>
  <c r="F2" i="5" s="1"/>
  <c r="E5" i="2"/>
  <c r="E10" i="2" s="1"/>
  <c r="E2" i="5" s="1"/>
  <c r="D5" i="2"/>
  <c r="D10" i="2" s="1"/>
  <c r="D2" i="5" s="1"/>
  <c r="C5" i="2"/>
  <c r="C10" i="2" s="1"/>
  <c r="C2" i="5" s="1"/>
  <c r="M5" i="6" l="1"/>
  <c r="M6" i="6" s="1"/>
  <c r="U27" i="3"/>
  <c r="U3" i="5" s="1"/>
  <c r="U9" i="6" s="1"/>
  <c r="X5" i="6"/>
  <c r="X6" i="6" s="1"/>
  <c r="X4" i="5"/>
  <c r="Z5" i="6"/>
  <c r="Z6" i="6" s="1"/>
  <c r="Z4" i="5"/>
  <c r="Z12" i="5" s="1"/>
  <c r="AL5" i="6"/>
  <c r="AL6" i="6" s="1"/>
  <c r="AL4" i="5"/>
  <c r="AL12" i="5" s="1"/>
  <c r="K27" i="3"/>
  <c r="K3" i="5" s="1"/>
  <c r="K9" i="6" s="1"/>
  <c r="W27" i="3"/>
  <c r="W3" i="5" s="1"/>
  <c r="W9" i="6" s="1"/>
  <c r="C5" i="6"/>
  <c r="C6" i="6" s="1"/>
  <c r="B18" i="5"/>
  <c r="B2" i="10" s="1"/>
  <c r="AJ27" i="3"/>
  <c r="AJ3" i="5" s="1"/>
  <c r="AJ9" i="6" s="1"/>
  <c r="AH10" i="6"/>
  <c r="AH11" i="5"/>
  <c r="O5" i="6"/>
  <c r="O6" i="6" s="1"/>
  <c r="C18" i="5"/>
  <c r="C2" i="10" s="1"/>
  <c r="D5" i="6"/>
  <c r="D6" i="6" s="1"/>
  <c r="P5" i="6"/>
  <c r="P6" i="6" s="1"/>
  <c r="P4" i="5"/>
  <c r="AB5" i="6"/>
  <c r="AB6" i="6" s="1"/>
  <c r="AB4" i="5"/>
  <c r="M27" i="3"/>
  <c r="M3" i="5" s="1"/>
  <c r="M9" i="6" s="1"/>
  <c r="AA11" i="6"/>
  <c r="I27" i="3"/>
  <c r="I3" i="5" s="1"/>
  <c r="I9" i="6" s="1"/>
  <c r="Y5" i="6"/>
  <c r="Y6" i="6" s="1"/>
  <c r="Q5" i="6"/>
  <c r="Q6" i="6" s="1"/>
  <c r="Q4" i="5"/>
  <c r="N27" i="3"/>
  <c r="N3" i="5" s="1"/>
  <c r="N9" i="6" s="1"/>
  <c r="AG27" i="3"/>
  <c r="AG3" i="5" s="1"/>
  <c r="AG9" i="6" s="1"/>
  <c r="R5" i="6"/>
  <c r="R6" i="6" s="1"/>
  <c r="R4" i="5"/>
  <c r="C27" i="3"/>
  <c r="C3" i="5" s="1"/>
  <c r="C4" i="5" s="1"/>
  <c r="AA27" i="3"/>
  <c r="AA3" i="5" s="1"/>
  <c r="AA9" i="6" s="1"/>
  <c r="AH27" i="3"/>
  <c r="AH3" i="5" s="1"/>
  <c r="AH9" i="6" s="1"/>
  <c r="AC5" i="6"/>
  <c r="AC6" i="6" s="1"/>
  <c r="Z27" i="3"/>
  <c r="Z3" i="5" s="1"/>
  <c r="Z9" i="6" s="1"/>
  <c r="AL27" i="3"/>
  <c r="AL3" i="5" s="1"/>
  <c r="AL9" i="6" s="1"/>
  <c r="F5" i="6"/>
  <c r="F6" i="6" s="1"/>
  <c r="F4" i="5"/>
  <c r="F12" i="5" s="1"/>
  <c r="AD5" i="6"/>
  <c r="AD6" i="6" s="1"/>
  <c r="G5" i="6"/>
  <c r="G6" i="6" s="1"/>
  <c r="AE5" i="6"/>
  <c r="AE6" i="6" s="1"/>
  <c r="D27" i="3"/>
  <c r="D3" i="5" s="1"/>
  <c r="D9" i="6" s="1"/>
  <c r="H27" i="3"/>
  <c r="H3" i="5" s="1"/>
  <c r="H9" i="6" s="1"/>
  <c r="AI27" i="3"/>
  <c r="AI3" i="5" s="1"/>
  <c r="AI9" i="6" s="1"/>
  <c r="AL10" i="6"/>
  <c r="AL11" i="5"/>
  <c r="AJ5" i="6"/>
  <c r="AJ6" i="6" s="1"/>
  <c r="AJ4" i="5"/>
  <c r="E5" i="6"/>
  <c r="E6" i="6" s="1"/>
  <c r="E4" i="5"/>
  <c r="T5" i="6"/>
  <c r="T6" i="6" s="1"/>
  <c r="T4" i="5"/>
  <c r="E27" i="3"/>
  <c r="E3" i="5" s="1"/>
  <c r="E9" i="6" s="1"/>
  <c r="Q27" i="3"/>
  <c r="Q3" i="5" s="1"/>
  <c r="Q9" i="6" s="1"/>
  <c r="AC27" i="3"/>
  <c r="AC3" i="5" s="1"/>
  <c r="AC9" i="6" s="1"/>
  <c r="C10" i="6"/>
  <c r="O11" i="6"/>
  <c r="AA10" i="6"/>
  <c r="AA11" i="5"/>
  <c r="L5" i="6"/>
  <c r="L6" i="6" s="1"/>
  <c r="L4" i="5"/>
  <c r="L12" i="5" s="1"/>
  <c r="AK5" i="6"/>
  <c r="AK6" i="6" s="1"/>
  <c r="D18" i="5"/>
  <c r="D2" i="10" s="1"/>
  <c r="AA5" i="6"/>
  <c r="AA6" i="6" s="1"/>
  <c r="N5" i="6"/>
  <c r="N6" i="6" s="1"/>
  <c r="I4" i="5"/>
  <c r="I12" i="5" s="1"/>
  <c r="I5" i="6"/>
  <c r="I6" i="6" s="1"/>
  <c r="U4" i="5"/>
  <c r="U5" i="6"/>
  <c r="U6" i="6" s="1"/>
  <c r="AG4" i="5"/>
  <c r="AG5" i="6"/>
  <c r="AG6" i="6" s="1"/>
  <c r="O27" i="3"/>
  <c r="O3" i="5" s="1"/>
  <c r="J5" i="6"/>
  <c r="J6" i="6" s="1"/>
  <c r="J4" i="5"/>
  <c r="AH5" i="6"/>
  <c r="AH6" i="6" s="1"/>
  <c r="H5" i="6"/>
  <c r="H6" i="6" s="1"/>
  <c r="H4" i="5"/>
  <c r="V5" i="6"/>
  <c r="V6" i="6" s="1"/>
  <c r="V4" i="5"/>
  <c r="V12" i="5" s="1"/>
  <c r="K5" i="6"/>
  <c r="K6" i="6" s="1"/>
  <c r="K4" i="5"/>
  <c r="W5" i="6"/>
  <c r="W6" i="6" s="1"/>
  <c r="W4" i="5"/>
  <c r="AI5" i="6"/>
  <c r="AI6" i="6" s="1"/>
  <c r="AI4" i="5"/>
  <c r="V11" i="5"/>
  <c r="E10" i="6"/>
  <c r="C24" i="7"/>
  <c r="C14" i="7"/>
  <c r="C15" i="7" s="1"/>
  <c r="O24" i="7"/>
  <c r="O14" i="7"/>
  <c r="AA24" i="7"/>
  <c r="AA14" i="7"/>
  <c r="AA15" i="7" s="1"/>
  <c r="Q10" i="6"/>
  <c r="AC6" i="5"/>
  <c r="AC6" i="4"/>
  <c r="AC7" i="5" s="1"/>
  <c r="AC11" i="6" s="1"/>
  <c r="E6" i="4"/>
  <c r="E7" i="5" s="1"/>
  <c r="E11" i="6" s="1"/>
  <c r="L10" i="6"/>
  <c r="L11" i="5"/>
  <c r="N5" i="7"/>
  <c r="Z5" i="7"/>
  <c r="AL5" i="7"/>
  <c r="D24" i="7"/>
  <c r="D14" i="7"/>
  <c r="D15" i="7" s="1"/>
  <c r="P24" i="7"/>
  <c r="P14" i="7"/>
  <c r="P15" i="7" s="1"/>
  <c r="AB24" i="7"/>
  <c r="AB14" i="7"/>
  <c r="AB15" i="7" s="1"/>
  <c r="F10" i="6"/>
  <c r="F11" i="5"/>
  <c r="R10" i="6"/>
  <c r="AD10" i="6"/>
  <c r="H6" i="4"/>
  <c r="H7" i="5" s="1"/>
  <c r="H11" i="6" s="1"/>
  <c r="N10" i="6"/>
  <c r="N11" i="5"/>
  <c r="G25" i="7"/>
  <c r="S25" i="7"/>
  <c r="AE25" i="7"/>
  <c r="Z24" i="7"/>
  <c r="Z14" i="7"/>
  <c r="Q24" i="7"/>
  <c r="Q14" i="7"/>
  <c r="O10" i="6"/>
  <c r="O11" i="5"/>
  <c r="AL24" i="7"/>
  <c r="AL14" i="7"/>
  <c r="E24" i="7"/>
  <c r="E14" i="7"/>
  <c r="Y15" i="7"/>
  <c r="AC24" i="7"/>
  <c r="AC25" i="7" s="1"/>
  <c r="AC14" i="7"/>
  <c r="S10" i="6"/>
  <c r="S11" i="5"/>
  <c r="R24" i="7"/>
  <c r="R14" i="7"/>
  <c r="AF6" i="5"/>
  <c r="AF6" i="4"/>
  <c r="AF7" i="5" s="1"/>
  <c r="AF11" i="6" s="1"/>
  <c r="G23" i="3"/>
  <c r="G27" i="3" s="1"/>
  <c r="G3" i="5" s="1"/>
  <c r="X10" i="6"/>
  <c r="X11" i="5"/>
  <c r="AF5" i="6"/>
  <c r="AF6" i="6" s="1"/>
  <c r="AF4" i="5"/>
  <c r="H24" i="7"/>
  <c r="H14" i="7"/>
  <c r="H15" i="7" s="1"/>
  <c r="T24" i="7"/>
  <c r="T14" i="7"/>
  <c r="AF24" i="7"/>
  <c r="AF14" i="7"/>
  <c r="AB6" i="4"/>
  <c r="AB7" i="5" s="1"/>
  <c r="AB11" i="6" s="1"/>
  <c r="Z10" i="6"/>
  <c r="Z11" i="5"/>
  <c r="G5" i="7"/>
  <c r="AE5" i="7"/>
  <c r="I24" i="7"/>
  <c r="I14" i="7"/>
  <c r="I15" i="7" s="1"/>
  <c r="U24" i="7"/>
  <c r="U14" i="7"/>
  <c r="AG24" i="7"/>
  <c r="AG14" i="7"/>
  <c r="K10" i="6"/>
  <c r="K11" i="5"/>
  <c r="W10" i="6"/>
  <c r="W11" i="5"/>
  <c r="AI6" i="5"/>
  <c r="AI6" i="4"/>
  <c r="AI7" i="5" s="1"/>
  <c r="AI11" i="6" s="1"/>
  <c r="AH6" i="4"/>
  <c r="AH7" i="5" s="1"/>
  <c r="AH11" i="6" s="1"/>
  <c r="N24" i="7"/>
  <c r="N14" i="7"/>
  <c r="S27" i="3"/>
  <c r="S3" i="5" s="1"/>
  <c r="S9" i="6" s="1"/>
  <c r="AE11" i="5"/>
  <c r="AE10" i="6"/>
  <c r="F24" i="7"/>
  <c r="F25" i="7" s="1"/>
  <c r="F14" i="7"/>
  <c r="F26" i="3"/>
  <c r="F27" i="3" s="1"/>
  <c r="F3" i="5" s="1"/>
  <c r="F9" i="6" s="1"/>
  <c r="T10" i="6"/>
  <c r="G24" i="7"/>
  <c r="G14" i="7"/>
  <c r="G15" i="7" s="1"/>
  <c r="AE24" i="7"/>
  <c r="AE14" i="7"/>
  <c r="U10" i="6"/>
  <c r="U11" i="5"/>
  <c r="AG6" i="5"/>
  <c r="AG6" i="4"/>
  <c r="AG7" i="5" s="1"/>
  <c r="AG11" i="6" s="1"/>
  <c r="V10" i="6"/>
  <c r="J24" i="7"/>
  <c r="J25" i="7" s="1"/>
  <c r="J14" i="7"/>
  <c r="V24" i="7"/>
  <c r="V14" i="7"/>
  <c r="AH24" i="7"/>
  <c r="AH14" i="7"/>
  <c r="AD24" i="7"/>
  <c r="AD25" i="7" s="1"/>
  <c r="AD14" i="7"/>
  <c r="R26" i="3"/>
  <c r="R27" i="3" s="1"/>
  <c r="R3" i="5" s="1"/>
  <c r="R9" i="6" s="1"/>
  <c r="AD26" i="3"/>
  <c r="AD27" i="3" s="1"/>
  <c r="AD3" i="5" s="1"/>
  <c r="AD9" i="6" s="1"/>
  <c r="I11" i="5"/>
  <c r="I10" i="6"/>
  <c r="K24" i="7"/>
  <c r="K14" i="7"/>
  <c r="W24" i="7"/>
  <c r="W14" i="7"/>
  <c r="AI24" i="7"/>
  <c r="AI14" i="7"/>
  <c r="Y27" i="3"/>
  <c r="Y3" i="5" s="1"/>
  <c r="Y9" i="6" s="1"/>
  <c r="M10" i="6"/>
  <c r="M11" i="5"/>
  <c r="Y10" i="6"/>
  <c r="AK10" i="6"/>
  <c r="P6" i="4"/>
  <c r="P7" i="5" s="1"/>
  <c r="P11" i="6" s="1"/>
  <c r="AJ10" i="6"/>
  <c r="AJ11" i="5"/>
  <c r="G10" i="6"/>
  <c r="L24" i="7"/>
  <c r="L14" i="7"/>
  <c r="X24" i="7"/>
  <c r="X14" i="7"/>
  <c r="AJ24" i="7"/>
  <c r="AJ14" i="7"/>
  <c r="AJ15" i="7" s="1"/>
  <c r="Q6" i="4"/>
  <c r="Q7" i="5" s="1"/>
  <c r="Q11" i="6" s="1"/>
  <c r="S15" i="7"/>
  <c r="AE15" i="7"/>
  <c r="H11" i="5"/>
  <c r="S5" i="6"/>
  <c r="S6" i="6" s="1"/>
  <c r="S4" i="5"/>
  <c r="S12" i="5" s="1"/>
  <c r="S24" i="7"/>
  <c r="S14" i="7"/>
  <c r="AE26" i="3"/>
  <c r="AE27" i="3" s="1"/>
  <c r="AE3" i="5" s="1"/>
  <c r="AE9" i="6" s="1"/>
  <c r="M24" i="7"/>
  <c r="M14" i="7"/>
  <c r="M15" i="7" s="1"/>
  <c r="Y24" i="7"/>
  <c r="AK24" i="7"/>
  <c r="AK14" i="7"/>
  <c r="AK15" i="7" s="1"/>
  <c r="AK26" i="3"/>
  <c r="AK27" i="3" s="1"/>
  <c r="AK3" i="5" s="1"/>
  <c r="AK9" i="6" s="1"/>
  <c r="C6" i="4"/>
  <c r="C7" i="5" s="1"/>
  <c r="T6" i="4"/>
  <c r="T7" i="5" s="1"/>
  <c r="T11" i="6" s="1"/>
  <c r="C12" i="6"/>
  <c r="B25" i="5"/>
  <c r="D26" i="5"/>
  <c r="B27" i="5"/>
  <c r="C27" i="5"/>
  <c r="J11" i="5"/>
  <c r="T15" i="7"/>
  <c r="AF15" i="7"/>
  <c r="D10" i="6"/>
  <c r="D11" i="5"/>
  <c r="P10" i="6"/>
  <c r="P11" i="5"/>
  <c r="AB11" i="5"/>
  <c r="AB10" i="6"/>
  <c r="D6" i="4"/>
  <c r="D7" i="5" s="1"/>
  <c r="D11" i="6" s="1"/>
  <c r="U6" i="4"/>
  <c r="U7" i="5" s="1"/>
  <c r="U11" i="6" s="1"/>
  <c r="C5" i="7"/>
  <c r="O5" i="7"/>
  <c r="AA5" i="7"/>
  <c r="U15" i="7"/>
  <c r="AG15" i="7"/>
  <c r="H25" i="7"/>
  <c r="T25" i="7"/>
  <c r="AF25" i="7"/>
  <c r="J15" i="7"/>
  <c r="V15" i="7"/>
  <c r="AH15" i="7"/>
  <c r="I25" i="7"/>
  <c r="U25" i="7"/>
  <c r="AG25" i="7"/>
  <c r="M6" i="4"/>
  <c r="M7" i="5" s="1"/>
  <c r="M11" i="6" s="1"/>
  <c r="Y6" i="4"/>
  <c r="Y7" i="5" s="1"/>
  <c r="Y11" i="6" s="1"/>
  <c r="AK6" i="4"/>
  <c r="AK7" i="5" s="1"/>
  <c r="AK11" i="6" s="1"/>
  <c r="E5" i="7"/>
  <c r="Q5" i="7"/>
  <c r="AC5" i="7"/>
  <c r="K15" i="7"/>
  <c r="W15" i="7"/>
  <c r="AI15" i="7"/>
  <c r="V25" i="7"/>
  <c r="AH25" i="7"/>
  <c r="F5" i="7"/>
  <c r="R5" i="7"/>
  <c r="AD5" i="7"/>
  <c r="L15" i="7"/>
  <c r="X15" i="7"/>
  <c r="K25" i="7"/>
  <c r="W25" i="7"/>
  <c r="AI25" i="7"/>
  <c r="L25" i="7"/>
  <c r="X25" i="7"/>
  <c r="AJ25" i="7"/>
  <c r="H5" i="7"/>
  <c r="T5" i="7"/>
  <c r="AF5" i="7"/>
  <c r="N15" i="7"/>
  <c r="Z15" i="7"/>
  <c r="AL15" i="7"/>
  <c r="M25" i="7"/>
  <c r="Y25" i="7"/>
  <c r="AK25" i="7"/>
  <c r="I5" i="7"/>
  <c r="U5" i="7"/>
  <c r="AG5" i="7"/>
  <c r="O15" i="7"/>
  <c r="N25" i="7"/>
  <c r="Z25" i="7"/>
  <c r="AL25" i="7"/>
  <c r="F6" i="4"/>
  <c r="F7" i="5" s="1"/>
  <c r="F11" i="6" s="1"/>
  <c r="R6" i="4"/>
  <c r="R7" i="5" s="1"/>
  <c r="R11" i="6" s="1"/>
  <c r="AD6" i="4"/>
  <c r="AD7" i="5" s="1"/>
  <c r="AD11" i="6" s="1"/>
  <c r="J5" i="7"/>
  <c r="V5" i="7"/>
  <c r="AH5" i="7"/>
  <c r="C25" i="7"/>
  <c r="O25" i="7"/>
  <c r="AA25" i="7"/>
  <c r="G6" i="4"/>
  <c r="G7" i="5" s="1"/>
  <c r="G11" i="6" s="1"/>
  <c r="S6" i="4"/>
  <c r="S7" i="5" s="1"/>
  <c r="S11" i="6" s="1"/>
  <c r="AE6" i="4"/>
  <c r="AE7" i="5" s="1"/>
  <c r="AE11" i="6" s="1"/>
  <c r="K5" i="7"/>
  <c r="W5" i="7"/>
  <c r="AI5" i="7"/>
  <c r="E15" i="7"/>
  <c r="Q15" i="7"/>
  <c r="AC15" i="7"/>
  <c r="D25" i="7"/>
  <c r="P25" i="7"/>
  <c r="AB25" i="7"/>
  <c r="L5" i="7"/>
  <c r="X5" i="7"/>
  <c r="AJ5" i="7"/>
  <c r="F15" i="7"/>
  <c r="R15" i="7"/>
  <c r="AD15" i="7"/>
  <c r="E25" i="7"/>
  <c r="Q25" i="7"/>
  <c r="R25" i="7"/>
  <c r="G9" i="6" l="1"/>
  <c r="G4" i="5"/>
  <c r="S13" i="5"/>
  <c r="S13" i="6" s="1"/>
  <c r="S14" i="6" s="1"/>
  <c r="S15" i="6" s="1"/>
  <c r="G11" i="5"/>
  <c r="M26" i="7"/>
  <c r="M27" i="7" s="1"/>
  <c r="M6" i="7"/>
  <c r="M7" i="7" s="1"/>
  <c r="M16" i="7"/>
  <c r="M17" i="7" s="1"/>
  <c r="R11" i="5"/>
  <c r="C19" i="5"/>
  <c r="O9" i="6"/>
  <c r="AK4" i="5"/>
  <c r="AE4" i="5"/>
  <c r="AE12" i="5" s="1"/>
  <c r="D23" i="5"/>
  <c r="D24" i="5" s="1"/>
  <c r="O4" i="5"/>
  <c r="D26" i="7"/>
  <c r="D27" i="7" s="1"/>
  <c r="D6" i="7"/>
  <c r="D7" i="7" s="1"/>
  <c r="D16" i="7"/>
  <c r="D17" i="7" s="1"/>
  <c r="P26" i="7"/>
  <c r="P27" i="7" s="1"/>
  <c r="P6" i="7"/>
  <c r="P7" i="7" s="1"/>
  <c r="P16" i="7"/>
  <c r="P17" i="7" s="1"/>
  <c r="K12" i="5"/>
  <c r="D19" i="5"/>
  <c r="AL13" i="5"/>
  <c r="AL13" i="6" s="1"/>
  <c r="C11" i="6"/>
  <c r="B23" i="5"/>
  <c r="B24" i="5" s="1"/>
  <c r="AI10" i="6"/>
  <c r="AI11" i="5"/>
  <c r="AE26" i="7"/>
  <c r="AE27" i="7" s="1"/>
  <c r="AE16" i="7"/>
  <c r="AE17" i="7" s="1"/>
  <c r="AE6" i="7"/>
  <c r="AE7" i="7" s="1"/>
  <c r="W26" i="7"/>
  <c r="W27" i="7" s="1"/>
  <c r="W16" i="7"/>
  <c r="W17" i="7" s="1"/>
  <c r="W6" i="7"/>
  <c r="W7" i="7" s="1"/>
  <c r="X26" i="7"/>
  <c r="X27" i="7" s="1"/>
  <c r="X16" i="7"/>
  <c r="X17" i="7" s="1"/>
  <c r="X6" i="7"/>
  <c r="X7" i="7" s="1"/>
  <c r="L26" i="7"/>
  <c r="L27" i="7" s="1"/>
  <c r="L16" i="7"/>
  <c r="L17" i="7" s="1"/>
  <c r="L6" i="7"/>
  <c r="L7" i="7" s="1"/>
  <c r="U12" i="5"/>
  <c r="AA26" i="7"/>
  <c r="AA27" i="7" s="1"/>
  <c r="AA16" i="7"/>
  <c r="AA17" i="7" s="1"/>
  <c r="AA6" i="7"/>
  <c r="AA7" i="7" s="1"/>
  <c r="AD4" i="5"/>
  <c r="AD12" i="5" s="1"/>
  <c r="L13" i="5"/>
  <c r="L13" i="6" s="1"/>
  <c r="L14" i="6" s="1"/>
  <c r="L15" i="6" s="1"/>
  <c r="V13" i="5"/>
  <c r="V13" i="6" s="1"/>
  <c r="V14" i="6" s="1"/>
  <c r="V15" i="6" s="1"/>
  <c r="AH26" i="7"/>
  <c r="AH27" i="7" s="1"/>
  <c r="AH16" i="7"/>
  <c r="AH17" i="7" s="1"/>
  <c r="AH6" i="7"/>
  <c r="AH7" i="7" s="1"/>
  <c r="Z26" i="7"/>
  <c r="Z27" i="7" s="1"/>
  <c r="Z16" i="7"/>
  <c r="Z17" i="7" s="1"/>
  <c r="Z6" i="7"/>
  <c r="Z7" i="7" s="1"/>
  <c r="E11" i="5"/>
  <c r="H12" i="5"/>
  <c r="AJ12" i="5"/>
  <c r="AB12" i="5"/>
  <c r="X12" i="5"/>
  <c r="F14" i="5"/>
  <c r="F2" i="9" s="1"/>
  <c r="F5" i="9" s="1"/>
  <c r="F13" i="5"/>
  <c r="F13" i="6" s="1"/>
  <c r="F14" i="6" s="1"/>
  <c r="F15" i="6" s="1"/>
  <c r="K26" i="7"/>
  <c r="K27" i="7" s="1"/>
  <c r="K16" i="7"/>
  <c r="K17" i="7" s="1"/>
  <c r="K6" i="7"/>
  <c r="K7" i="7" s="1"/>
  <c r="J26" i="7"/>
  <c r="J27" i="7" s="1"/>
  <c r="J16" i="7"/>
  <c r="J17" i="7" s="1"/>
  <c r="J6" i="7"/>
  <c r="J7" i="7" s="1"/>
  <c r="N26" i="7"/>
  <c r="N27" i="7" s="1"/>
  <c r="N16" i="7"/>
  <c r="N17" i="7" s="1"/>
  <c r="N6" i="7"/>
  <c r="N7" i="7" s="1"/>
  <c r="V26" i="7"/>
  <c r="V27" i="7" s="1"/>
  <c r="V16" i="7"/>
  <c r="V17" i="7" s="1"/>
  <c r="V6" i="7"/>
  <c r="V7" i="7" s="1"/>
  <c r="N4" i="5"/>
  <c r="N12" i="5" s="1"/>
  <c r="AL26" i="7"/>
  <c r="AL27" i="7" s="1"/>
  <c r="AL16" i="7"/>
  <c r="AL17" i="7" s="1"/>
  <c r="AL6" i="7"/>
  <c r="AL7" i="7" s="1"/>
  <c r="Q12" i="5"/>
  <c r="P12" i="5"/>
  <c r="F26" i="7"/>
  <c r="F27" i="7" s="1"/>
  <c r="F16" i="7"/>
  <c r="F17" i="7" s="1"/>
  <c r="F6" i="7"/>
  <c r="F7" i="7" s="1"/>
  <c r="U26" i="7"/>
  <c r="U27" i="7" s="1"/>
  <c r="U16" i="7"/>
  <c r="U17" i="7" s="1"/>
  <c r="U6" i="7"/>
  <c r="U7" i="7" s="1"/>
  <c r="Z13" i="5"/>
  <c r="Z13" i="6" s="1"/>
  <c r="Z14" i="6" s="1"/>
  <c r="Z15" i="6" s="1"/>
  <c r="AJ26" i="7"/>
  <c r="AJ27" i="7" s="1"/>
  <c r="AJ16" i="7"/>
  <c r="AJ17" i="7" s="1"/>
  <c r="AJ6" i="7"/>
  <c r="AJ7" i="7" s="1"/>
  <c r="I13" i="5"/>
  <c r="I13" i="6" s="1"/>
  <c r="C23" i="5"/>
  <c r="C24" i="5" s="1"/>
  <c r="AK11" i="5"/>
  <c r="AF10" i="6"/>
  <c r="AF11" i="5"/>
  <c r="O26" i="7"/>
  <c r="O27" i="7" s="1"/>
  <c r="O16" i="7"/>
  <c r="O17" i="7" s="1"/>
  <c r="O6" i="7"/>
  <c r="O7" i="7" s="1"/>
  <c r="AC10" i="6"/>
  <c r="AC11" i="5"/>
  <c r="AH4" i="5"/>
  <c r="AH12" i="5" s="1"/>
  <c r="C11" i="5"/>
  <c r="AL14" i="6"/>
  <c r="AL15" i="6" s="1"/>
  <c r="C9" i="6"/>
  <c r="B19" i="5"/>
  <c r="T11" i="5"/>
  <c r="Q11" i="5"/>
  <c r="AA4" i="5"/>
  <c r="Y4" i="5"/>
  <c r="Y12" i="5" s="1"/>
  <c r="D4" i="5"/>
  <c r="D12" i="5" s="1"/>
  <c r="H26" i="7"/>
  <c r="H27" i="7" s="1"/>
  <c r="H16" i="7"/>
  <c r="H17" i="7" s="1"/>
  <c r="H6" i="7"/>
  <c r="H7" i="7" s="1"/>
  <c r="Y11" i="5"/>
  <c r="I26" i="7"/>
  <c r="I27" i="7" s="1"/>
  <c r="I16" i="7"/>
  <c r="I17" i="7" s="1"/>
  <c r="I6" i="7"/>
  <c r="I7" i="7" s="1"/>
  <c r="J12" i="5"/>
  <c r="AC4" i="5"/>
  <c r="AC12" i="5" s="1"/>
  <c r="M4" i="5"/>
  <c r="M12" i="5" s="1"/>
  <c r="AG11" i="5"/>
  <c r="AG10" i="6"/>
  <c r="AG12" i="5"/>
  <c r="AB26" i="7"/>
  <c r="AB27" i="7" s="1"/>
  <c r="AB16" i="7"/>
  <c r="AB17" i="7" s="1"/>
  <c r="AB6" i="7"/>
  <c r="AB7" i="7" s="1"/>
  <c r="S26" i="7"/>
  <c r="S27" i="7" s="1"/>
  <c r="S6" i="7"/>
  <c r="S7" i="7" s="1"/>
  <c r="S16" i="7"/>
  <c r="S17" i="7" s="1"/>
  <c r="AD11" i="5"/>
  <c r="D28" i="5" s="1"/>
  <c r="W12" i="5"/>
  <c r="I14" i="6"/>
  <c r="I15" i="6" s="1"/>
  <c r="AB28" i="7" l="1"/>
  <c r="AB30" i="7"/>
  <c r="Q13" i="5"/>
  <c r="Q13" i="6" s="1"/>
  <c r="Q14" i="6" s="1"/>
  <c r="Q15" i="6" s="1"/>
  <c r="J8" i="7"/>
  <c r="J10" i="7"/>
  <c r="AH8" i="7"/>
  <c r="AH10" i="7"/>
  <c r="M28" i="7"/>
  <c r="M30" i="7"/>
  <c r="D14" i="5"/>
  <c r="D2" i="9" s="1"/>
  <c r="D5" i="9" s="1"/>
  <c r="D13" i="5"/>
  <c r="D13" i="6" s="1"/>
  <c r="D14" i="6" s="1"/>
  <c r="D15" i="6" s="1"/>
  <c r="AF26" i="7"/>
  <c r="AF27" i="7" s="1"/>
  <c r="AF16" i="7"/>
  <c r="AF17" i="7" s="1"/>
  <c r="AF6" i="7"/>
  <c r="AF7" i="7" s="1"/>
  <c r="Z14" i="5"/>
  <c r="Z2" i="9" s="1"/>
  <c r="Z5" i="9" s="1"/>
  <c r="X14" i="5"/>
  <c r="X2" i="9" s="1"/>
  <c r="X5" i="9" s="1"/>
  <c r="X13" i="5"/>
  <c r="X13" i="6" s="1"/>
  <c r="X14" i="6" s="1"/>
  <c r="X15" i="6" s="1"/>
  <c r="L28" i="7"/>
  <c r="L30" i="7"/>
  <c r="J13" i="5"/>
  <c r="J13" i="6" s="1"/>
  <c r="J14" i="6" s="1"/>
  <c r="J15" i="6" s="1"/>
  <c r="Y14" i="5"/>
  <c r="Y2" i="9" s="1"/>
  <c r="Y5" i="9" s="1"/>
  <c r="Y13" i="5"/>
  <c r="Y13" i="6" s="1"/>
  <c r="Y14" i="6" s="1"/>
  <c r="Y15" i="6" s="1"/>
  <c r="J18" i="7"/>
  <c r="J20" i="7"/>
  <c r="AB14" i="5"/>
  <c r="AB2" i="9" s="1"/>
  <c r="AB5" i="9" s="1"/>
  <c r="AB13" i="5"/>
  <c r="AB13" i="6" s="1"/>
  <c r="AB14" i="6" s="1"/>
  <c r="AB15" i="6" s="1"/>
  <c r="AH18" i="7"/>
  <c r="AH20" i="7"/>
  <c r="X8" i="7"/>
  <c r="X10" i="7"/>
  <c r="AI26" i="7"/>
  <c r="AI27" i="7" s="1"/>
  <c r="AI16" i="7"/>
  <c r="AI17" i="7" s="1"/>
  <c r="AI6" i="7"/>
  <c r="AI7" i="7" s="1"/>
  <c r="K13" i="5"/>
  <c r="K13" i="6" s="1"/>
  <c r="K14" i="6" s="1"/>
  <c r="K15" i="6" s="1"/>
  <c r="G26" i="7"/>
  <c r="G27" i="7" s="1"/>
  <c r="G6" i="7"/>
  <c r="G7" i="7" s="1"/>
  <c r="G16" i="7"/>
  <c r="G17" i="7" s="1"/>
  <c r="C26" i="7"/>
  <c r="C27" i="7" s="1"/>
  <c r="C16" i="7"/>
  <c r="C17" i="7" s="1"/>
  <c r="C6" i="7"/>
  <c r="C7" i="7" s="1"/>
  <c r="B28" i="5"/>
  <c r="U18" i="7"/>
  <c r="U20" i="7"/>
  <c r="AL18" i="7"/>
  <c r="AL20" i="7"/>
  <c r="K8" i="7"/>
  <c r="K10" i="7"/>
  <c r="X28" i="7"/>
  <c r="X30" i="7"/>
  <c r="S14" i="5"/>
  <c r="S2" i="9" s="1"/>
  <c r="S5" i="9" s="1"/>
  <c r="AB18" i="7"/>
  <c r="AB20" i="7"/>
  <c r="AD14" i="5"/>
  <c r="AD2" i="9" s="1"/>
  <c r="AD5" i="9" s="1"/>
  <c r="AD13" i="5"/>
  <c r="AD13" i="6" s="1"/>
  <c r="AD14" i="6" s="1"/>
  <c r="AD15" i="6" s="1"/>
  <c r="I8" i="7"/>
  <c r="I10" i="7"/>
  <c r="I20" i="7"/>
  <c r="AA12" i="5"/>
  <c r="D20" i="5"/>
  <c r="U28" i="7"/>
  <c r="U30" i="7"/>
  <c r="AL28" i="7"/>
  <c r="AL30" i="7"/>
  <c r="K18" i="7"/>
  <c r="K20" i="7"/>
  <c r="AJ14" i="5"/>
  <c r="AJ2" i="9" s="1"/>
  <c r="AJ5" i="9" s="1"/>
  <c r="AJ13" i="5"/>
  <c r="AJ13" i="6" s="1"/>
  <c r="AJ14" i="6" s="1"/>
  <c r="AJ15" i="6" s="1"/>
  <c r="W8" i="7"/>
  <c r="W10" i="7"/>
  <c r="P18" i="7"/>
  <c r="P20" i="7"/>
  <c r="AK12" i="5"/>
  <c r="M14" i="5"/>
  <c r="M2" i="9" s="1"/>
  <c r="M5" i="9" s="1"/>
  <c r="M13" i="5"/>
  <c r="M13" i="6" s="1"/>
  <c r="M14" i="6" s="1"/>
  <c r="M15" i="6" s="1"/>
  <c r="P8" i="7"/>
  <c r="P10" i="7"/>
  <c r="C12" i="5"/>
  <c r="AG13" i="5"/>
  <c r="AG13" i="6" s="1"/>
  <c r="AG14" i="6" s="1"/>
  <c r="AG15" i="6" s="1"/>
  <c r="AK26" i="7"/>
  <c r="AK27" i="7" s="1"/>
  <c r="AK16" i="7"/>
  <c r="AK17" i="7" s="1"/>
  <c r="AK6" i="7"/>
  <c r="AK7" i="7" s="1"/>
  <c r="AL8" i="7"/>
  <c r="AL10" i="7"/>
  <c r="J28" i="7"/>
  <c r="J30" i="7"/>
  <c r="X18" i="7"/>
  <c r="X20" i="7"/>
  <c r="AD26" i="7"/>
  <c r="AD27" i="7" s="1"/>
  <c r="AD16" i="7"/>
  <c r="AD17" i="7" s="1"/>
  <c r="AD6" i="7"/>
  <c r="AD7" i="7" s="1"/>
  <c r="I28" i="7"/>
  <c r="I30" i="7"/>
  <c r="AH13" i="5"/>
  <c r="AH13" i="6" s="1"/>
  <c r="AH14" i="6" s="1"/>
  <c r="AH15" i="6" s="1"/>
  <c r="N14" i="5"/>
  <c r="N2" i="9" s="1"/>
  <c r="N5" i="9" s="1"/>
  <c r="N13" i="5"/>
  <c r="N13" i="6" s="1"/>
  <c r="N14" i="6" s="1"/>
  <c r="N15" i="6" s="1"/>
  <c r="K28" i="7"/>
  <c r="K30" i="7"/>
  <c r="AA8" i="7"/>
  <c r="AA10" i="7"/>
  <c r="W18" i="7"/>
  <c r="W20" i="7"/>
  <c r="S18" i="7"/>
  <c r="S20" i="7"/>
  <c r="Y26" i="7"/>
  <c r="Y27" i="7" s="1"/>
  <c r="Y16" i="7"/>
  <c r="Y17" i="7" s="1"/>
  <c r="Y6" i="7"/>
  <c r="Y7" i="7" s="1"/>
  <c r="AI12" i="5"/>
  <c r="AC26" i="7"/>
  <c r="AC27" i="7" s="1"/>
  <c r="AC16" i="7"/>
  <c r="AC17" i="7" s="1"/>
  <c r="AC6" i="7"/>
  <c r="AC7" i="7" s="1"/>
  <c r="I14" i="5"/>
  <c r="I2" i="9" s="1"/>
  <c r="I5" i="9" s="1"/>
  <c r="V8" i="7"/>
  <c r="V10" i="7"/>
  <c r="H13" i="5"/>
  <c r="H13" i="6" s="1"/>
  <c r="H14" i="6" s="1"/>
  <c r="H15" i="6" s="1"/>
  <c r="V14" i="5"/>
  <c r="V2" i="9" s="1"/>
  <c r="V5" i="9" s="1"/>
  <c r="AA18" i="7"/>
  <c r="AA20" i="7"/>
  <c r="W28" i="7"/>
  <c r="W30" i="7"/>
  <c r="AL14" i="5"/>
  <c r="AL2" i="9" s="1"/>
  <c r="AL5" i="9" s="1"/>
  <c r="P28" i="7"/>
  <c r="P30" i="7"/>
  <c r="B20" i="5"/>
  <c r="S8" i="7"/>
  <c r="S10" i="7"/>
  <c r="F8" i="7"/>
  <c r="F10" i="7"/>
  <c r="V18" i="7"/>
  <c r="V20" i="7"/>
  <c r="AA28" i="7"/>
  <c r="AA30" i="7"/>
  <c r="AE8" i="7"/>
  <c r="AE10" i="7"/>
  <c r="D18" i="7"/>
  <c r="D20" i="7"/>
  <c r="H28" i="7"/>
  <c r="H30" i="7"/>
  <c r="O28" i="7"/>
  <c r="O30" i="7"/>
  <c r="P13" i="5"/>
  <c r="P13" i="6" s="1"/>
  <c r="P14" i="6" s="1"/>
  <c r="P15" i="6" s="1"/>
  <c r="AH28" i="7"/>
  <c r="AH30" i="7"/>
  <c r="AE13" i="5"/>
  <c r="AE13" i="6" s="1"/>
  <c r="AE14" i="6" s="1"/>
  <c r="AE15" i="6" s="1"/>
  <c r="W14" i="5"/>
  <c r="W2" i="9" s="1"/>
  <c r="W5" i="9" s="1"/>
  <c r="W13" i="5"/>
  <c r="W13" i="6" s="1"/>
  <c r="W14" i="6" s="1"/>
  <c r="W15" i="6" s="1"/>
  <c r="AG26" i="7"/>
  <c r="AG27" i="7" s="1"/>
  <c r="AG16" i="7"/>
  <c r="AG17" i="7" s="1"/>
  <c r="AG6" i="7"/>
  <c r="AG7" i="7" s="1"/>
  <c r="Q26" i="7"/>
  <c r="Q27" i="7" s="1"/>
  <c r="Q16" i="7"/>
  <c r="Q17" i="7" s="1"/>
  <c r="Q6" i="7"/>
  <c r="Q7" i="7" s="1"/>
  <c r="E26" i="7"/>
  <c r="E27" i="7" s="1"/>
  <c r="E16" i="7"/>
  <c r="E17" i="7" s="1"/>
  <c r="E6" i="7"/>
  <c r="E7" i="7" s="1"/>
  <c r="S28" i="7"/>
  <c r="S30" i="7"/>
  <c r="T26" i="7"/>
  <c r="T27" i="7" s="1"/>
  <c r="T16" i="7"/>
  <c r="T17" i="7" s="1"/>
  <c r="T6" i="7"/>
  <c r="T7" i="7" s="1"/>
  <c r="C28" i="5"/>
  <c r="AJ8" i="7"/>
  <c r="AJ10" i="7"/>
  <c r="F18" i="7"/>
  <c r="F20" i="7"/>
  <c r="V28" i="7"/>
  <c r="V30" i="7"/>
  <c r="Z8" i="7"/>
  <c r="Z10" i="7"/>
  <c r="L14" i="5"/>
  <c r="L2" i="9" s="1"/>
  <c r="L5" i="9" s="1"/>
  <c r="U14" i="5"/>
  <c r="U2" i="9" s="1"/>
  <c r="U5" i="9" s="1"/>
  <c r="U13" i="5"/>
  <c r="U13" i="6" s="1"/>
  <c r="U14" i="6" s="1"/>
  <c r="U15" i="6" s="1"/>
  <c r="AE18" i="7"/>
  <c r="AE20" i="7"/>
  <c r="D8" i="7"/>
  <c r="D10" i="7"/>
  <c r="R26" i="7"/>
  <c r="R27" i="7" s="1"/>
  <c r="R16" i="7"/>
  <c r="R17" i="7" s="1"/>
  <c r="R6" i="7"/>
  <c r="R7" i="7" s="1"/>
  <c r="AC14" i="5"/>
  <c r="AC2" i="9" s="1"/>
  <c r="AC5" i="9" s="1"/>
  <c r="AC13" i="5"/>
  <c r="AC13" i="6" s="1"/>
  <c r="AC14" i="6" s="1"/>
  <c r="AC15" i="6" s="1"/>
  <c r="H8" i="7"/>
  <c r="H10" i="7"/>
  <c r="O8" i="7"/>
  <c r="O10" i="7"/>
  <c r="AJ18" i="7"/>
  <c r="AJ20" i="7"/>
  <c r="F28" i="7"/>
  <c r="F30" i="7"/>
  <c r="N8" i="7"/>
  <c r="N10" i="7"/>
  <c r="Z18" i="7"/>
  <c r="Z20" i="7"/>
  <c r="AF12" i="5"/>
  <c r="AE28" i="7"/>
  <c r="AE30" i="7"/>
  <c r="D28" i="7"/>
  <c r="D30" i="7"/>
  <c r="G12" i="5"/>
  <c r="U8" i="7"/>
  <c r="U10" i="7"/>
  <c r="AB8" i="7"/>
  <c r="AB10" i="7"/>
  <c r="H18" i="7"/>
  <c r="H20" i="7"/>
  <c r="O18" i="7"/>
  <c r="O20" i="7"/>
  <c r="AJ28" i="7"/>
  <c r="AJ30" i="7"/>
  <c r="N18" i="7"/>
  <c r="N20" i="7"/>
  <c r="Z28" i="7"/>
  <c r="Z30" i="7"/>
  <c r="L8" i="7"/>
  <c r="L10" i="7"/>
  <c r="R12" i="5"/>
  <c r="T12" i="5"/>
  <c r="M18" i="7"/>
  <c r="M20" i="7"/>
  <c r="N28" i="7"/>
  <c r="N30" i="7"/>
  <c r="L18" i="7"/>
  <c r="L20" i="7"/>
  <c r="E12" i="5"/>
  <c r="O12" i="5"/>
  <c r="C20" i="5"/>
  <c r="M8" i="7"/>
  <c r="M10" i="7"/>
  <c r="AI18" i="7" l="1"/>
  <c r="AI20" i="7"/>
  <c r="AI28" i="7"/>
  <c r="AI30" i="7"/>
  <c r="J14" i="5"/>
  <c r="J2" i="9" s="1"/>
  <c r="J5" i="9" s="1"/>
  <c r="C29" i="5"/>
  <c r="C21" i="5"/>
  <c r="AC18" i="7"/>
  <c r="AC20" i="7"/>
  <c r="R18" i="7"/>
  <c r="R20" i="7"/>
  <c r="E18" i="7"/>
  <c r="E20" i="7"/>
  <c r="AC28" i="7"/>
  <c r="AC30" i="7"/>
  <c r="C8" i="7"/>
  <c r="C10" i="7"/>
  <c r="C14" i="5"/>
  <c r="C2" i="9" s="1"/>
  <c r="C5" i="9" s="1"/>
  <c r="C13" i="5"/>
  <c r="C13" i="6" s="1"/>
  <c r="C14" i="6" s="1"/>
  <c r="C15" i="6" s="1"/>
  <c r="AE14" i="5"/>
  <c r="AE2" i="9" s="1"/>
  <c r="AE5" i="9" s="1"/>
  <c r="R28" i="7"/>
  <c r="R30" i="7"/>
  <c r="E28" i="7"/>
  <c r="E30" i="7"/>
  <c r="AI13" i="5"/>
  <c r="AI13" i="6" s="1"/>
  <c r="AI14" i="6" s="1"/>
  <c r="AI15" i="6" s="1"/>
  <c r="C18" i="7"/>
  <c r="C20" i="7"/>
  <c r="AC8" i="7"/>
  <c r="AC10" i="7"/>
  <c r="C28" i="7"/>
  <c r="C30" i="7"/>
  <c r="E13" i="5"/>
  <c r="E13" i="6" s="1"/>
  <c r="E14" i="6" s="1"/>
  <c r="E15" i="6" s="1"/>
  <c r="R8" i="7"/>
  <c r="R10" i="7"/>
  <c r="Q8" i="7"/>
  <c r="Q10" i="7"/>
  <c r="Y8" i="7"/>
  <c r="Y10" i="7"/>
  <c r="AK13" i="5"/>
  <c r="AK13" i="6" s="1"/>
  <c r="AK14" i="6" s="1"/>
  <c r="AK15" i="6" s="1"/>
  <c r="G18" i="7"/>
  <c r="G20" i="7"/>
  <c r="Y28" i="7"/>
  <c r="Y30" i="7"/>
  <c r="AH14" i="5"/>
  <c r="AH2" i="9" s="1"/>
  <c r="AH5" i="9" s="1"/>
  <c r="AK8" i="7"/>
  <c r="AK10" i="7"/>
  <c r="D21" i="5"/>
  <c r="D29" i="5"/>
  <c r="G8" i="7"/>
  <c r="G10" i="7"/>
  <c r="P14" i="5"/>
  <c r="P2" i="9" s="1"/>
  <c r="P5" i="9" s="1"/>
  <c r="Q28" i="7"/>
  <c r="Q30" i="7"/>
  <c r="AK18" i="7"/>
  <c r="AK20" i="7"/>
  <c r="AA13" i="5"/>
  <c r="AA13" i="6" s="1"/>
  <c r="AA14" i="6" s="1"/>
  <c r="AA15" i="6" s="1"/>
  <c r="G28" i="7"/>
  <c r="G30" i="7"/>
  <c r="AF8" i="7"/>
  <c r="AF10" i="7"/>
  <c r="Q14" i="5"/>
  <c r="Q2" i="9" s="1"/>
  <c r="Q5" i="9" s="1"/>
  <c r="T13" i="5"/>
  <c r="T13" i="6" s="1"/>
  <c r="T14" i="6" s="1"/>
  <c r="T15" i="6" s="1"/>
  <c r="AD28" i="7"/>
  <c r="AD30" i="7"/>
  <c r="R14" i="5"/>
  <c r="R2" i="9" s="1"/>
  <c r="R5" i="9" s="1"/>
  <c r="R13" i="5"/>
  <c r="R13" i="6" s="1"/>
  <c r="R14" i="6" s="1"/>
  <c r="R15" i="6" s="1"/>
  <c r="T8" i="7"/>
  <c r="T10" i="7"/>
  <c r="AG18" i="7"/>
  <c r="AG20" i="7"/>
  <c r="H14" i="5"/>
  <c r="H2" i="9" s="1"/>
  <c r="H5" i="9" s="1"/>
  <c r="AK28" i="7"/>
  <c r="AK30" i="7"/>
  <c r="AF18" i="7"/>
  <c r="AF20" i="7"/>
  <c r="E8" i="7"/>
  <c r="E10" i="7"/>
  <c r="T18" i="7"/>
  <c r="T20" i="7"/>
  <c r="AG28" i="7"/>
  <c r="AG30" i="7"/>
  <c r="AD8" i="7"/>
  <c r="AD10" i="7"/>
  <c r="K14" i="5"/>
  <c r="K2" i="9" s="1"/>
  <c r="K5" i="9" s="1"/>
  <c r="AF28" i="7"/>
  <c r="AF30" i="7"/>
  <c r="O13" i="5"/>
  <c r="O14" i="5" s="1"/>
  <c r="O2" i="9" s="1"/>
  <c r="O5" i="9" s="1"/>
  <c r="G13" i="5"/>
  <c r="G13" i="6" s="1"/>
  <c r="G14" i="6" s="1"/>
  <c r="G15" i="6" s="1"/>
  <c r="Q18" i="7"/>
  <c r="Q20" i="7"/>
  <c r="Y18" i="7"/>
  <c r="Y20" i="7"/>
  <c r="AG8" i="7"/>
  <c r="AG10" i="7"/>
  <c r="AF14" i="5"/>
  <c r="AF2" i="9" s="1"/>
  <c r="AF5" i="9" s="1"/>
  <c r="AF13" i="5"/>
  <c r="AF13" i="6" s="1"/>
  <c r="AF14" i="6" s="1"/>
  <c r="AF15" i="6" s="1"/>
  <c r="T28" i="7"/>
  <c r="T30" i="7"/>
  <c r="B29" i="5"/>
  <c r="AD18" i="7"/>
  <c r="AD20" i="7"/>
  <c r="AG14" i="5"/>
  <c r="AG2" i="9" s="1"/>
  <c r="AG5" i="9" s="1"/>
  <c r="AI8" i="7"/>
  <c r="AI10" i="7"/>
  <c r="B12" i="9" l="1"/>
  <c r="C6" i="9"/>
  <c r="D6" i="9" s="1"/>
  <c r="C31" i="5"/>
  <c r="C32" i="5" s="1"/>
  <c r="C3" i="10" s="1"/>
  <c r="C4" i="10" s="1"/>
  <c r="O13" i="6"/>
  <c r="O14" i="6" s="1"/>
  <c r="O15" i="6" s="1"/>
  <c r="C5" i="10" s="1"/>
  <c r="C25" i="5"/>
  <c r="AI14" i="5"/>
  <c r="AI2" i="9" s="1"/>
  <c r="AI5" i="9" s="1"/>
  <c r="E14" i="5"/>
  <c r="E2" i="9" s="1"/>
  <c r="E5" i="9" s="1"/>
  <c r="E6" i="9" s="1"/>
  <c r="F6" i="9" s="1"/>
  <c r="B31" i="5"/>
  <c r="B32" i="5" s="1"/>
  <c r="B3" i="10" s="1"/>
  <c r="T14" i="5"/>
  <c r="T2" i="9" s="1"/>
  <c r="T5" i="9" s="1"/>
  <c r="D5" i="10"/>
  <c r="D31" i="5"/>
  <c r="D32" i="5" s="1"/>
  <c r="D3" i="10" s="1"/>
  <c r="D4" i="10" s="1"/>
  <c r="AK14" i="5"/>
  <c r="AK2" i="9" s="1"/>
  <c r="AK5" i="9" s="1"/>
  <c r="G14" i="5"/>
  <c r="G2" i="9" s="1"/>
  <c r="G5" i="9" s="1"/>
  <c r="G6" i="9" s="1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S6" i="9" s="1"/>
  <c r="AA14" i="5"/>
  <c r="AA2" i="9" s="1"/>
  <c r="AA5" i="9" s="1"/>
  <c r="C16" i="6"/>
  <c r="D2" i="6" s="1"/>
  <c r="D16" i="6" s="1"/>
  <c r="E2" i="6" s="1"/>
  <c r="E16" i="6" s="1"/>
  <c r="F2" i="6" s="1"/>
  <c r="F16" i="6" s="1"/>
  <c r="G2" i="6" s="1"/>
  <c r="G16" i="6" s="1"/>
  <c r="H2" i="6" s="1"/>
  <c r="H16" i="6" s="1"/>
  <c r="I2" i="6" s="1"/>
  <c r="I16" i="6" s="1"/>
  <c r="J2" i="6" s="1"/>
  <c r="J16" i="6" s="1"/>
  <c r="K2" i="6" s="1"/>
  <c r="K16" i="6" s="1"/>
  <c r="L2" i="6" s="1"/>
  <c r="L16" i="6" s="1"/>
  <c r="M2" i="6" s="1"/>
  <c r="M16" i="6" s="1"/>
  <c r="N2" i="6" s="1"/>
  <c r="N16" i="6" s="1"/>
  <c r="O2" i="6" s="1"/>
  <c r="O16" i="6" s="1"/>
  <c r="P2" i="6" s="1"/>
  <c r="P16" i="6" s="1"/>
  <c r="Q2" i="6" s="1"/>
  <c r="Q16" i="6" s="1"/>
  <c r="R2" i="6" s="1"/>
  <c r="R16" i="6" s="1"/>
  <c r="S2" i="6" s="1"/>
  <c r="S16" i="6" s="1"/>
  <c r="T2" i="6" s="1"/>
  <c r="T16" i="6" s="1"/>
  <c r="U2" i="6" s="1"/>
  <c r="U16" i="6" s="1"/>
  <c r="V2" i="6" s="1"/>
  <c r="V16" i="6" s="1"/>
  <c r="W2" i="6" s="1"/>
  <c r="W16" i="6" s="1"/>
  <c r="X2" i="6" s="1"/>
  <c r="X16" i="6" s="1"/>
  <c r="Y2" i="6" s="1"/>
  <c r="Y16" i="6" s="1"/>
  <c r="Z2" i="6" s="1"/>
  <c r="Z16" i="6" s="1"/>
  <c r="AA2" i="6" s="1"/>
  <c r="AA16" i="6" s="1"/>
  <c r="AB2" i="6" s="1"/>
  <c r="AB16" i="6" s="1"/>
  <c r="AC2" i="6" s="1"/>
  <c r="AC16" i="6" s="1"/>
  <c r="AD2" i="6" s="1"/>
  <c r="AD16" i="6" s="1"/>
  <c r="AE2" i="6" s="1"/>
  <c r="AE16" i="6" s="1"/>
  <c r="AF2" i="6" s="1"/>
  <c r="AF16" i="6" s="1"/>
  <c r="AG2" i="6" s="1"/>
  <c r="AG16" i="6" s="1"/>
  <c r="AH2" i="6" s="1"/>
  <c r="AH16" i="6" s="1"/>
  <c r="AI2" i="6" s="1"/>
  <c r="AI16" i="6" s="1"/>
  <c r="AJ2" i="6" s="1"/>
  <c r="AJ16" i="6" s="1"/>
  <c r="AK2" i="6" s="1"/>
  <c r="AK16" i="6" s="1"/>
  <c r="AL2" i="6" s="1"/>
  <c r="AL16" i="6" s="1"/>
  <c r="B5" i="10"/>
  <c r="T6" i="9" l="1"/>
  <c r="U6" i="9" s="1"/>
  <c r="V6" i="9" s="1"/>
  <c r="W6" i="9" s="1"/>
  <c r="X6" i="9" s="1"/>
  <c r="Y6" i="9" s="1"/>
  <c r="Z6" i="9" s="1"/>
  <c r="AA6" i="9"/>
  <c r="AB6" i="9" s="1"/>
  <c r="AC6" i="9" s="1"/>
  <c r="AD6" i="9" s="1"/>
  <c r="AE6" i="9" s="1"/>
  <c r="AF6" i="9" s="1"/>
  <c r="AG6" i="9" s="1"/>
  <c r="AH6" i="9" s="1"/>
  <c r="AI6" i="9" s="1"/>
  <c r="AJ6" i="9" s="1"/>
  <c r="AK6" i="9" s="1"/>
  <c r="AL6" i="9" s="1"/>
  <c r="B11" i="9" s="1"/>
  <c r="C3" i="11" l="1"/>
  <c r="B14" i="9"/>
</calcChain>
</file>

<file path=xl/sharedStrings.xml><?xml version="1.0" encoding="utf-8"?>
<sst xmlns="http://schemas.openxmlformats.org/spreadsheetml/2006/main" count="590" uniqueCount="223">
  <si>
    <t>Наименование статьи затрат</t>
  </si>
  <si>
    <t>Всего за проект</t>
  </si>
  <si>
    <t>1 мес</t>
  </si>
  <si>
    <t>2 мес</t>
  </si>
  <si>
    <t>3 мес</t>
  </si>
  <si>
    <t>4 мес</t>
  </si>
  <si>
    <t>5 мес</t>
  </si>
  <si>
    <t>6 мес</t>
  </si>
  <si>
    <t>7 мес</t>
  </si>
  <si>
    <t>8 мес</t>
  </si>
  <si>
    <t>9 мес</t>
  </si>
  <si>
    <t>10 мес</t>
  </si>
  <si>
    <t>11 мес</t>
  </si>
  <si>
    <t>12 мес</t>
  </si>
  <si>
    <t>13 мес</t>
  </si>
  <si>
    <t>14 мес</t>
  </si>
  <si>
    <t>15 мес</t>
  </si>
  <si>
    <t>16 мес</t>
  </si>
  <si>
    <t>17 мес</t>
  </si>
  <si>
    <t>18 мес</t>
  </si>
  <si>
    <t>19 мес</t>
  </si>
  <si>
    <t>20 мес</t>
  </si>
  <si>
    <t>21 мес</t>
  </si>
  <si>
    <t>22 мес</t>
  </si>
  <si>
    <t>23 мес</t>
  </si>
  <si>
    <t>24 мес</t>
  </si>
  <si>
    <t>25 мес</t>
  </si>
  <si>
    <t>26 мес</t>
  </si>
  <si>
    <t>27 мес</t>
  </si>
  <si>
    <t>28 мес</t>
  </si>
  <si>
    <t>29 мес</t>
  </si>
  <si>
    <t>30 мес</t>
  </si>
  <si>
    <t>31 мес</t>
  </si>
  <si>
    <t>32 мес</t>
  </si>
  <si>
    <t>33 мес</t>
  </si>
  <si>
    <t>34 мес</t>
  </si>
  <si>
    <t>35 мес</t>
  </si>
  <si>
    <t>36 мес</t>
  </si>
  <si>
    <t>1. Приобретение оборудования и материалов</t>
  </si>
  <si>
    <t>2. Услуги контрагентов</t>
  </si>
  <si>
    <t>3. Регистрация, сайт, интеллектуальная собственность</t>
  </si>
  <si>
    <t>ИТОГО ИНВЕСТИЦИОННЫЕ РАСХОДЫ</t>
  </si>
  <si>
    <t>Наименование показателя</t>
  </si>
  <si>
    <t>Формула</t>
  </si>
  <si>
    <t>1. ВЕРТИКАЛЬНАЯ КОЛОННА</t>
  </si>
  <si>
    <t>Кол-во продаж (шт)</t>
  </si>
  <si>
    <t>План</t>
  </si>
  <si>
    <t>Цена за 1 шт</t>
  </si>
  <si>
    <t>Ввод</t>
  </si>
  <si>
    <t>Выручка (Колонна)</t>
  </si>
  <si>
    <t>Кол-во*Цена</t>
  </si>
  <si>
    <t>2. ЯРУСНАЯ СИСТЕМА</t>
  </si>
  <si>
    <t>Выручка (Ярус)</t>
  </si>
  <si>
    <t>ИТОГО ВЫРУЧКА</t>
  </si>
  <si>
    <t>Сумма выручки</t>
  </si>
  <si>
    <t>1. СЕБЕСТОИМОСТЬ: ВЕРТИКАЛЬНАЯ КОЛОННА (20 000 руб)</t>
  </si>
  <si>
    <t>Пластиковый корпус (ABS-пластик)</t>
  </si>
  <si>
    <t>Система полива (насос, трубки)</t>
  </si>
  <si>
    <t>Светодиодные лампы</t>
  </si>
  <si>
    <t>Расходники и упаковка</t>
  </si>
  <si>
    <t>Сборка (сдельная оплата за 1 шт)</t>
  </si>
  <si>
    <t>ИТОГО СЕБЕСТОИМОСТЬ КОЛОННЫ</t>
  </si>
  <si>
    <t>СУММ</t>
  </si>
  <si>
    <t>2. СЕБЕСТОИМОСТЬ: ЯРУСНАЯ СИСТЕМА (60 000 руб)</t>
  </si>
  <si>
    <t>Алюминиевый каркас и поддоны</t>
  </si>
  <si>
    <t>Проф. освещение и автоматика</t>
  </si>
  <si>
    <t>Мощные насосы и фильтры</t>
  </si>
  <si>
    <t>ИТОГО СЕБЕСТОИМОСТЬ ЯРУСА</t>
  </si>
  <si>
    <t>3. ПОСТОЯННЫЕ РАСХОДЫ (В МЕСЯЦ)</t>
  </si>
  <si>
    <t>Аренда цеха и склада</t>
  </si>
  <si>
    <t>Маркетинг (Сайт, реклама)</t>
  </si>
  <si>
    <t>Прочие (Связь, Банк, Интернет)</t>
  </si>
  <si>
    <t>4. ПЕРЕМЕННЫЕ РАСХОДЫ ОТ ПЛАНА</t>
  </si>
  <si>
    <t xml:space="preserve">ВЕРТИКАЛЬНАЯ КОЛОННА </t>
  </si>
  <si>
    <t>ПЕРЕМЕННЫЕ РАСХОДЫ</t>
  </si>
  <si>
    <t>Количество*себестоимость</t>
  </si>
  <si>
    <t xml:space="preserve">ЯРУСНАЯ СИСТЕМА </t>
  </si>
  <si>
    <t>ИТОГО ПЕРЕМЕННЫЕ РАСХОДЫ</t>
  </si>
  <si>
    <t>Расходы Ярусная+Вертикальная</t>
  </si>
  <si>
    <t>Наименование должности</t>
  </si>
  <si>
    <t>Директор</t>
  </si>
  <si>
    <t>Разработчик системы</t>
  </si>
  <si>
    <t>Бухгалтер</t>
  </si>
  <si>
    <t>ИТОГО ФОТ (Начисленная ЗП)</t>
  </si>
  <si>
    <t>Сумма</t>
  </si>
  <si>
    <t>Страховые взносы на персонал (30%)</t>
  </si>
  <si>
    <t>ФОТ * 30%</t>
  </si>
  <si>
    <t>Формула в Excel</t>
  </si>
  <si>
    <t>ВЫРУЧКА (Колонны + Ярусные)</t>
  </si>
  <si>
    <t>Доходы!Итого</t>
  </si>
  <si>
    <t>СЕБЕСТОИМОСТЬ ОБЩАЯ (Колонны + Ярусные)</t>
  </si>
  <si>
    <t>Расходы!Общие Переменные</t>
  </si>
  <si>
    <t>ВАЛОВАЯ ПРИБЫЛЬ</t>
  </si>
  <si>
    <t>Выручка - Себестоимость</t>
  </si>
  <si>
    <t>ПОСТОЯННЫЕ РАСХОДЫ</t>
  </si>
  <si>
    <t>ФОТ (Зарплаты)</t>
  </si>
  <si>
    <t>ФОТ!Итого</t>
  </si>
  <si>
    <t>Страховые взносы</t>
  </si>
  <si>
    <t xml:space="preserve"> ФОТ!Взносы</t>
  </si>
  <si>
    <t>Аренда помещения</t>
  </si>
  <si>
    <t>Расходы!Аренда</t>
  </si>
  <si>
    <t>Маркетинг и реклама</t>
  </si>
  <si>
    <t>Расходы!Маркетинг</t>
  </si>
  <si>
    <t>Прочие расходы</t>
  </si>
  <si>
    <t>Расходы!Прочие</t>
  </si>
  <si>
    <t>ИТОГО ПОСТОЯННЫЕ РАСХОДЫ</t>
  </si>
  <si>
    <t>СУММ(4.1 : 4.5)</t>
  </si>
  <si>
    <t>ОПЕРАЦИОННАЯ ПРИБЫЛЬ (EBITDA)</t>
  </si>
  <si>
    <t>Валовая - Постоянные</t>
  </si>
  <si>
    <t>НАЛОГИ (УСН 15%)</t>
  </si>
  <si>
    <t>ЕСЛИ(EBITDA&gt;0; EBITDA*0,15; 0)</t>
  </si>
  <si>
    <t>ЧИСТАЯ ПРИБЫЛЬ</t>
  </si>
  <si>
    <t>EBITDA - Налоги</t>
  </si>
  <si>
    <t>Год 1 (Разработка)</t>
  </si>
  <si>
    <t>Год 2 (Итого)</t>
  </si>
  <si>
    <t>Год 3 (Итого)</t>
  </si>
  <si>
    <t>ОПЕРАЦИОННЫЕ ПОКАЗАТЕЛИ</t>
  </si>
  <si>
    <t>1. ВЫРУЧКА</t>
  </si>
  <si>
    <t>2. ПЕРЕМЕННЫЕ РАСХОДЫ</t>
  </si>
  <si>
    <t>3. ВАЛОВАЯ ПРИБЫЛЬ</t>
  </si>
  <si>
    <t>Рентабельность по валовой прибыли</t>
  </si>
  <si>
    <t>4. ПОСТОЯННЫЕ РАСХОДЫ</t>
  </si>
  <si>
    <t>4.1. ФОТ (Зарплаты)</t>
  </si>
  <si>
    <t>4.2. Страховые взносы</t>
  </si>
  <si>
    <t>4.3. Аренда помещения</t>
  </si>
  <si>
    <t>4.4. Маркетинг и реклама</t>
  </si>
  <si>
    <t>4.5. Прочие расходы (интернет, ПО)</t>
  </si>
  <si>
    <t>5. ОПЕРАЦИОННАЯ ПРИБЫЛЬ (EBITDA)</t>
  </si>
  <si>
    <t>6. НАЛОГИ</t>
  </si>
  <si>
    <t>Единый налог (УСН 15%)</t>
  </si>
  <si>
    <t>7. ЧИСТАЯ ПРИБЫЛЬ</t>
  </si>
  <si>
    <t>Остаток денег НА НАЧАЛО месяца</t>
  </si>
  <si>
    <t>Предыдущий Остаток на КОНЕЦ</t>
  </si>
  <si>
    <t>1. ПОСТУПЛЕНИЯ ДЕНЕГ (ПРИТОК)</t>
  </si>
  <si>
    <t>1.1. Грант (ФСИ)</t>
  </si>
  <si>
    <t>Ввод руками</t>
  </si>
  <si>
    <t>1.2. Поступления от продаж</t>
  </si>
  <si>
    <t>БДР!Выручка</t>
  </si>
  <si>
    <t>ИТОГО ПОСТУПЛЕНИЙ</t>
  </si>
  <si>
    <t>СУММ(1.1:1.2)</t>
  </si>
  <si>
    <t>2. ВЫБЫТИЯ ДЕНЕГ (ОТТОК)</t>
  </si>
  <si>
    <t>2.1. Инвестиции (Оборудование, рег.)</t>
  </si>
  <si>
    <t>Инвестиции!Итого</t>
  </si>
  <si>
    <t>2.2. Закупка материалов (Переменные)</t>
  </si>
  <si>
    <t>БДР!Переменные расходы</t>
  </si>
  <si>
    <t>2.3. Выплата зарплат (ФОТ)</t>
  </si>
  <si>
    <t>БДР!ФОТ</t>
  </si>
  <si>
    <t>2.4. Уплата страховых взносов</t>
  </si>
  <si>
    <t>БДР!Страховые взносы</t>
  </si>
  <si>
    <t>2.5. Оплата аренды, маркетинга, ПО</t>
  </si>
  <si>
    <t>БДР!Аренда+Маркетинг+Прочее</t>
  </si>
  <si>
    <t>2.6. Оплата налогов (УСН)</t>
  </si>
  <si>
    <t>БДР!Налоги</t>
  </si>
  <si>
    <t>ИТОГО ВЫБЫТИЙ</t>
  </si>
  <si>
    <t>СУММ(2.1:2.6)</t>
  </si>
  <si>
    <t>3. ЧИСТЫЙ ДЕНЕЖНЫЙ ПОТОК (NCF)</t>
  </si>
  <si>
    <t>ИТОГО ПОСТУПЛЕНИЙ - ИТОГО ВЫБЫТИЙ</t>
  </si>
  <si>
    <t>Остаток денег НА КОНЕЦ месяца</t>
  </si>
  <si>
    <t>Остаток НА НАЧАЛО + NCF</t>
  </si>
  <si>
    <t>1. Цена за 1 установку</t>
  </si>
  <si>
    <t>Доходы!Цена</t>
  </si>
  <si>
    <t>2. Переменные расходы (Себестоимость 1 шт)</t>
  </si>
  <si>
    <t>расходы!Себестоимость</t>
  </si>
  <si>
    <t>3. МАРЖИНАЛЬНАЯ ПРИБЫЛЬ (с 1 шт)</t>
  </si>
  <si>
    <t>Цена - Себестоимость</t>
  </si>
  <si>
    <t>4. Итого Постоянные расходы за месяц</t>
  </si>
  <si>
    <t>БДР!Итого Постоянные</t>
  </si>
  <si>
    <t>ТОЧКА БЕЗУБЫТОЧНОСТИ (в штуках)</t>
  </si>
  <si>
    <t>Постоянные / Маржинальную прибыль</t>
  </si>
  <si>
    <t>ТОЧКА БЕЗУБЫТОЧНОСТИ (в рублях)</t>
  </si>
  <si>
    <t>ТБ(шт) * Цена</t>
  </si>
  <si>
    <t>Фактический план продаж (шт)</t>
  </si>
  <si>
    <t>БДР!Количество</t>
  </si>
  <si>
    <t>Запас финансовой прочности (шт)</t>
  </si>
  <si>
    <t>Фактический план - ТБ(шт)</t>
  </si>
  <si>
    <t>доходыЦена</t>
  </si>
  <si>
    <t>расходы!Итого Постоянные</t>
  </si>
  <si>
    <t>3. Общая (парные продажи)</t>
  </si>
  <si>
    <t>1. Денежный поток проекта (FCFF)</t>
  </si>
  <si>
    <t>БДР!Чистая_Прибыль - Инвестиции!Итого</t>
  </si>
  <si>
    <t>2. Ставка дисконтирования (Месячная)</t>
  </si>
  <si>
    <t>25% / 12 месяцев</t>
  </si>
  <si>
    <t>3. Коэффициент дисконтирования</t>
  </si>
  <si>
    <t>1 / ((1 + 2,08%)^Номер_месяца)</t>
  </si>
  <si>
    <t>4. ДИСКОНТИРОВАННЫЙ ПОТОК (DCF)</t>
  </si>
  <si>
    <t>Строка_1 * Строка_3</t>
  </si>
  <si>
    <t>5. НАКОПЛЕННЫЙ DCF (Нарастающим)</t>
  </si>
  <si>
    <t>Предыдущий_накопленный + Текущий_DCF</t>
  </si>
  <si>
    <t>ИТОГОВЫЙ ПОКАЗАТЕЛЬ</t>
  </si>
  <si>
    <t>ЗНАЧЕНИЕ В EXCEL</t>
  </si>
  <si>
    <t>ФОРМУЛА (КАК СЧИТАТЬ)</t>
  </si>
  <si>
    <t>Ставка дисконтирования (WACC)</t>
  </si>
  <si>
    <t>15% (Ключевая ставка ЦБ РФ) + 10% (Премия за риск стартапа)</t>
  </si>
  <si>
    <t>NPV (Чистая приведенная стоимость)</t>
  </si>
  <si>
    <t>СУММ(всех ячеек строки 4 "DCF" за 36 месяцев)</t>
  </si>
  <si>
    <t>IRR (Внутренняя норма доходности)</t>
  </si>
  <si>
    <t>ВНДОХ(Выделяешь все ячейки строки 1 "FCFF" за 36 месяцев)</t>
  </si>
  <si>
    <t>Срок окупаемости (PBP)</t>
  </si>
  <si>
    <t>22 месяцев</t>
  </si>
  <si>
    <t>Месяц, когда в строке 5 "Накопленный DCF" минус сменился на плюс</t>
  </si>
  <si>
    <t>Индекс рентабельности (PI)</t>
  </si>
  <si>
    <t>(NPV + Первоначальные Инвестиции) / Первоначальные Инвестиции</t>
  </si>
  <si>
    <t>Показатель</t>
  </si>
  <si>
    <t>Год 2 (Старт)</t>
  </si>
  <si>
    <t>Год 3 (Рост)</t>
  </si>
  <si>
    <t>Выручка, руб.</t>
  </si>
  <si>
    <t>Чистая прибыль, руб.</t>
  </si>
  <si>
    <t>Рентабельность продаж, %</t>
  </si>
  <si>
    <t>Чистый денежный поток (NCF)</t>
  </si>
  <si>
    <t>Количество проданных штук</t>
  </si>
  <si>
    <t>Сценарий</t>
  </si>
  <si>
    <t>Изменение факторов</t>
  </si>
  <si>
    <t>NPV (итоговый)</t>
  </si>
  <si>
    <t>Статус проекта</t>
  </si>
  <si>
    <t>Оптимистичный</t>
  </si>
  <si>
    <t>Продажи выше на 20%</t>
  </si>
  <si>
    <t>Супер-прибыльно</t>
  </si>
  <si>
    <t>Реалистичный</t>
  </si>
  <si>
    <t>Всё идет по плану</t>
  </si>
  <si>
    <t>Устойчив</t>
  </si>
  <si>
    <t>Пессимистичный</t>
  </si>
  <si>
    <t>а продажи упали на 20%</t>
  </si>
  <si>
    <t>Все равно выгодно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</si>
</sst>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2B2D31"/>
      <name val="Inter"/>
    </font>
    <font>
      <sz val="11"/>
      <color rgb="FF2B2D31"/>
      <name val="Inter"/>
    </font>
    <font>
      <i/>
      <sz val="11"/>
      <color rgb="FF2B2D31"/>
      <name val="Inter"/>
    </font>
    <font>
      <b/>
      <sz val="10"/>
      <color theme="1"/>
      <name val="Arial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10" fontId="3" fillId="2" borderId="0" xfId="0" applyNumberFormat="1" applyFont="1" applyFill="1" applyAlignment="1">
      <alignment wrapText="1"/>
    </xf>
    <xf numFmtId="0" fontId="3" fillId="2" borderId="4" xfId="0" applyFont="1" applyFill="1" applyBorder="1" applyAlignment="1">
      <alignment wrapText="1"/>
    </xf>
    <xf numFmtId="10" fontId="3" fillId="2" borderId="1" xfId="0" applyNumberFormat="1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1" fillId="0" borderId="0" xfId="0" applyFont="1" applyAlignment="1">
      <alignment wrapText="1"/>
    </xf>
    <xf numFmtId="10" fontId="1" fillId="0" borderId="1" xfId="0" applyNumberFormat="1" applyFont="1" applyBorder="1"/>
    <xf numFmtId="2" fontId="1" fillId="0" borderId="1" xfId="0" applyNumberFormat="1" applyFont="1" applyBorder="1"/>
    <xf numFmtId="1" fontId="1" fillId="0" borderId="1" xfId="0" applyNumberFormat="1" applyFont="1" applyBorder="1"/>
    <xf numFmtId="9" fontId="1" fillId="3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9" fontId="1" fillId="0" borderId="1" xfId="0" applyNumberFormat="1" applyFont="1" applyBorder="1"/>
    <xf numFmtId="1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3" fillId="2" borderId="2" xfId="0" applyFont="1" applyFill="1" applyBorder="1" applyAlignment="1">
      <alignment wrapText="1"/>
    </xf>
    <xf numFmtId="0" fontId="6" fillId="0" borderId="3" xfId="0" applyFont="1" applyBorder="1"/>
    <xf numFmtId="0" fontId="6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14"/>
  <sheetViews>
    <sheetView tabSelected="1" workbookViewId="0"/>
  </sheetViews>
  <sheetFormatPr defaultColWidth="12.5703125" defaultRowHeight="15.75" customHeight="1"/>
  <cols>
    <col min="1" max="1" width="35.85546875" customWidth="1"/>
    <col min="2" max="2" width="34.85546875" customWidth="1"/>
    <col min="3" max="3" width="25.28515625" customWidth="1"/>
    <col min="4" max="4" width="39" customWidth="1"/>
    <col min="5" max="5" width="31" customWidth="1"/>
    <col min="6" max="6" width="29.28515625" customWidth="1"/>
    <col min="7" max="7" width="36.28515625" customWidth="1"/>
    <col min="8" max="8" width="29.140625" customWidth="1"/>
    <col min="9" max="9" width="15.140625" customWidth="1"/>
  </cols>
  <sheetData>
    <row r="1" spans="1:3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>
      <c r="A2" s="1" t="s">
        <v>38</v>
      </c>
      <c r="B2" s="1">
        <v>470000</v>
      </c>
      <c r="C2" s="1">
        <v>470000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</row>
    <row r="3" spans="1:38">
      <c r="A3" s="1" t="s">
        <v>39</v>
      </c>
      <c r="B3" s="1">
        <v>110000</v>
      </c>
      <c r="C3" s="1">
        <v>110000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</row>
    <row r="4" spans="1:38">
      <c r="A4" s="1" t="s">
        <v>40</v>
      </c>
      <c r="B4" s="1">
        <v>120000</v>
      </c>
      <c r="C4" s="1">
        <v>120000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</row>
    <row r="5" spans="1:38">
      <c r="A5" s="1" t="s">
        <v>41</v>
      </c>
      <c r="B5" s="1">
        <v>700000</v>
      </c>
      <c r="C5" s="1">
        <v>700000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</row>
    <row r="6" spans="1:38">
      <c r="A6" s="2"/>
      <c r="B6" s="2"/>
      <c r="D6" s="2"/>
      <c r="E6" s="2"/>
      <c r="F6" s="2"/>
      <c r="G6" s="2"/>
      <c r="H6" s="2"/>
      <c r="I6" s="2"/>
    </row>
    <row r="7" spans="1:38">
      <c r="A7" s="2"/>
      <c r="D7" s="2"/>
      <c r="E7" s="2"/>
      <c r="F7" s="2"/>
      <c r="G7" s="2"/>
      <c r="H7" s="2"/>
      <c r="I7" s="2"/>
    </row>
    <row r="8" spans="1:38">
      <c r="D8" s="2"/>
      <c r="E8" s="2"/>
      <c r="F8" s="2"/>
      <c r="G8" s="2"/>
      <c r="H8" s="2"/>
      <c r="I8" s="2"/>
    </row>
    <row r="9" spans="1:38">
      <c r="D9" s="2"/>
      <c r="E9" s="2"/>
      <c r="F9" s="2"/>
      <c r="G9" s="2"/>
      <c r="H9" s="2"/>
      <c r="I9" s="2"/>
    </row>
    <row r="10" spans="1:38">
      <c r="D10" s="2"/>
      <c r="E10" s="2"/>
      <c r="F10" s="2"/>
      <c r="G10" s="2"/>
      <c r="H10" s="2"/>
      <c r="I10" s="2"/>
    </row>
    <row r="11" spans="1:38">
      <c r="D11" s="2"/>
      <c r="E11" s="2"/>
      <c r="F11" s="2"/>
      <c r="G11" s="2"/>
      <c r="H11" s="2"/>
      <c r="I11" s="2"/>
    </row>
    <row r="12" spans="1:38">
      <c r="D12" s="2"/>
      <c r="E12" s="2"/>
      <c r="F12" s="2"/>
      <c r="G12" s="2"/>
      <c r="H12" s="2"/>
      <c r="I12" s="2"/>
    </row>
    <row r="13" spans="1:38">
      <c r="D13" s="2"/>
      <c r="E13" s="2"/>
      <c r="F13" s="2"/>
      <c r="G13" s="2"/>
      <c r="H13" s="2"/>
      <c r="I13" s="2"/>
    </row>
    <row r="14" spans="1:38">
      <c r="D14" s="2"/>
      <c r="E14" s="2"/>
      <c r="F14" s="2"/>
      <c r="G14" s="2"/>
      <c r="H14" s="2"/>
      <c r="I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L17"/>
  <sheetViews>
    <sheetView workbookViewId="0">
      <selection activeCell="C9" sqref="C9"/>
    </sheetView>
  </sheetViews>
  <sheetFormatPr defaultColWidth="12.5703125" defaultRowHeight="15.75" customHeight="1"/>
  <cols>
    <col min="1" max="1" width="39.140625" customWidth="1"/>
    <col min="2" max="2" width="29.5703125" customWidth="1"/>
  </cols>
  <sheetData>
    <row r="1" spans="1:38">
      <c r="A1" s="1" t="s">
        <v>42</v>
      </c>
      <c r="B1" s="1" t="s">
        <v>43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" t="s">
        <v>44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 t="s">
        <v>45</v>
      </c>
      <c r="B3" s="1" t="s">
        <v>46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10</v>
      </c>
      <c r="P3" s="1">
        <v>15</v>
      </c>
      <c r="Q3" s="1">
        <v>30</v>
      </c>
      <c r="R3" s="1">
        <v>30</v>
      </c>
      <c r="S3" s="1">
        <v>30</v>
      </c>
      <c r="T3" s="1">
        <v>30</v>
      </c>
      <c r="U3" s="1">
        <v>30</v>
      </c>
      <c r="V3" s="1">
        <v>30</v>
      </c>
      <c r="W3" s="1">
        <v>30</v>
      </c>
      <c r="X3" s="1">
        <v>30</v>
      </c>
      <c r="Y3" s="1">
        <v>35</v>
      </c>
      <c r="Z3" s="1">
        <v>35</v>
      </c>
      <c r="AA3" s="1">
        <v>50</v>
      </c>
      <c r="AB3" s="1">
        <v>40</v>
      </c>
      <c r="AC3" s="1">
        <v>40</v>
      </c>
      <c r="AD3" s="1">
        <v>40</v>
      </c>
      <c r="AE3" s="1">
        <v>40</v>
      </c>
      <c r="AF3" s="1">
        <v>40</v>
      </c>
      <c r="AG3" s="1">
        <v>40</v>
      </c>
      <c r="AH3" s="1">
        <v>40</v>
      </c>
      <c r="AI3" s="1">
        <v>40</v>
      </c>
      <c r="AJ3" s="1">
        <v>40</v>
      </c>
      <c r="AK3" s="1">
        <v>50</v>
      </c>
      <c r="AL3" s="1">
        <v>50</v>
      </c>
    </row>
    <row r="4" spans="1:38">
      <c r="A4" s="1" t="s">
        <v>47</v>
      </c>
      <c r="B4" s="1" t="s">
        <v>48</v>
      </c>
      <c r="C4" s="1">
        <v>20000</v>
      </c>
      <c r="D4" s="1">
        <v>20000</v>
      </c>
      <c r="E4" s="1">
        <v>20000</v>
      </c>
      <c r="F4" s="1">
        <v>20000</v>
      </c>
      <c r="G4" s="1">
        <v>20000</v>
      </c>
      <c r="H4" s="1">
        <v>20000</v>
      </c>
      <c r="I4" s="1">
        <v>20000</v>
      </c>
      <c r="J4" s="1">
        <v>20000</v>
      </c>
      <c r="K4" s="1">
        <v>20000</v>
      </c>
      <c r="L4" s="1">
        <v>20000</v>
      </c>
      <c r="M4" s="1">
        <v>20000</v>
      </c>
      <c r="N4" s="1">
        <v>20000</v>
      </c>
      <c r="O4" s="1">
        <v>20000</v>
      </c>
      <c r="P4" s="1">
        <v>20000</v>
      </c>
      <c r="Q4" s="1">
        <v>20000</v>
      </c>
      <c r="R4" s="1">
        <v>20000</v>
      </c>
      <c r="S4" s="1">
        <v>20000</v>
      </c>
      <c r="T4" s="1">
        <v>20000</v>
      </c>
      <c r="U4" s="1">
        <v>20000</v>
      </c>
      <c r="V4" s="1">
        <v>20000</v>
      </c>
      <c r="W4" s="1">
        <v>20000</v>
      </c>
      <c r="X4" s="1">
        <v>20000</v>
      </c>
      <c r="Y4" s="1">
        <v>20000</v>
      </c>
      <c r="Z4" s="1">
        <v>20000</v>
      </c>
      <c r="AA4" s="1">
        <v>20000</v>
      </c>
      <c r="AB4" s="1">
        <v>20000</v>
      </c>
      <c r="AC4" s="1">
        <v>20000</v>
      </c>
      <c r="AD4" s="1">
        <v>20000</v>
      </c>
      <c r="AE4" s="1">
        <v>20000</v>
      </c>
      <c r="AF4" s="1">
        <v>20000</v>
      </c>
      <c r="AG4" s="1">
        <v>20000</v>
      </c>
      <c r="AH4" s="1">
        <v>20000</v>
      </c>
      <c r="AI4" s="1">
        <v>20000</v>
      </c>
      <c r="AJ4" s="1">
        <v>20000</v>
      </c>
      <c r="AK4" s="1">
        <v>20000</v>
      </c>
      <c r="AL4" s="1">
        <v>20000</v>
      </c>
    </row>
    <row r="5" spans="1:38">
      <c r="A5" s="1" t="s">
        <v>49</v>
      </c>
      <c r="B5" s="1" t="s">
        <v>50</v>
      </c>
      <c r="C5" s="1">
        <f t="shared" ref="C5:AL5" si="0">C3*C4</f>
        <v>0</v>
      </c>
      <c r="D5" s="1">
        <f t="shared" si="0"/>
        <v>0</v>
      </c>
      <c r="E5" s="1">
        <f t="shared" si="0"/>
        <v>0</v>
      </c>
      <c r="F5" s="1">
        <f t="shared" si="0"/>
        <v>0</v>
      </c>
      <c r="G5" s="1">
        <f t="shared" si="0"/>
        <v>0</v>
      </c>
      <c r="H5" s="1">
        <f t="shared" si="0"/>
        <v>0</v>
      </c>
      <c r="I5" s="1">
        <f t="shared" si="0"/>
        <v>0</v>
      </c>
      <c r="J5" s="1">
        <f t="shared" si="0"/>
        <v>0</v>
      </c>
      <c r="K5" s="1">
        <f t="shared" si="0"/>
        <v>0</v>
      </c>
      <c r="L5" s="1">
        <f t="shared" si="0"/>
        <v>0</v>
      </c>
      <c r="M5" s="1">
        <f t="shared" si="0"/>
        <v>0</v>
      </c>
      <c r="N5" s="1">
        <f t="shared" si="0"/>
        <v>0</v>
      </c>
      <c r="O5" s="1">
        <f t="shared" si="0"/>
        <v>200000</v>
      </c>
      <c r="P5" s="1">
        <f t="shared" si="0"/>
        <v>300000</v>
      </c>
      <c r="Q5" s="1">
        <f t="shared" si="0"/>
        <v>600000</v>
      </c>
      <c r="R5" s="1">
        <f t="shared" si="0"/>
        <v>600000</v>
      </c>
      <c r="S5" s="1">
        <f t="shared" si="0"/>
        <v>600000</v>
      </c>
      <c r="T5" s="1">
        <f t="shared" si="0"/>
        <v>600000</v>
      </c>
      <c r="U5" s="1">
        <f t="shared" si="0"/>
        <v>600000</v>
      </c>
      <c r="V5" s="1">
        <f t="shared" si="0"/>
        <v>600000</v>
      </c>
      <c r="W5" s="1">
        <f t="shared" si="0"/>
        <v>600000</v>
      </c>
      <c r="X5" s="1">
        <f t="shared" si="0"/>
        <v>600000</v>
      </c>
      <c r="Y5" s="1">
        <f t="shared" si="0"/>
        <v>700000</v>
      </c>
      <c r="Z5" s="1">
        <f t="shared" si="0"/>
        <v>700000</v>
      </c>
      <c r="AA5" s="1">
        <f t="shared" si="0"/>
        <v>1000000</v>
      </c>
      <c r="AB5" s="1">
        <f t="shared" si="0"/>
        <v>800000</v>
      </c>
      <c r="AC5" s="1">
        <f t="shared" si="0"/>
        <v>800000</v>
      </c>
      <c r="AD5" s="1">
        <f t="shared" si="0"/>
        <v>800000</v>
      </c>
      <c r="AE5" s="1">
        <f t="shared" si="0"/>
        <v>800000</v>
      </c>
      <c r="AF5" s="1">
        <f t="shared" si="0"/>
        <v>800000</v>
      </c>
      <c r="AG5" s="1">
        <f t="shared" si="0"/>
        <v>800000</v>
      </c>
      <c r="AH5" s="1">
        <f t="shared" si="0"/>
        <v>800000</v>
      </c>
      <c r="AI5" s="1">
        <f t="shared" si="0"/>
        <v>800000</v>
      </c>
      <c r="AJ5" s="1">
        <f t="shared" si="0"/>
        <v>800000</v>
      </c>
      <c r="AK5" s="1">
        <f t="shared" si="0"/>
        <v>1000000</v>
      </c>
      <c r="AL5" s="1">
        <f t="shared" si="0"/>
        <v>1000000</v>
      </c>
    </row>
    <row r="6" spans="1:38">
      <c r="A6" s="1" t="s">
        <v>51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>
      <c r="A7" s="1" t="s">
        <v>45</v>
      </c>
      <c r="B7" s="1" t="s">
        <v>46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3.0000000000000004</v>
      </c>
      <c r="P7" s="1">
        <v>5</v>
      </c>
      <c r="Q7" s="1">
        <v>10</v>
      </c>
      <c r="R7" s="1">
        <v>10</v>
      </c>
      <c r="S7" s="1">
        <v>10</v>
      </c>
      <c r="T7" s="1">
        <v>10</v>
      </c>
      <c r="U7" s="1">
        <v>10</v>
      </c>
      <c r="V7" s="1">
        <v>10</v>
      </c>
      <c r="W7" s="1">
        <v>10</v>
      </c>
      <c r="X7" s="1">
        <v>10</v>
      </c>
      <c r="Y7" s="1">
        <v>15</v>
      </c>
      <c r="Z7" s="1">
        <v>15</v>
      </c>
      <c r="AA7" s="1">
        <v>18.000000000000004</v>
      </c>
      <c r="AB7" s="1">
        <v>18.000000000000004</v>
      </c>
      <c r="AC7" s="1">
        <v>18.000000000000004</v>
      </c>
      <c r="AD7" s="1">
        <v>18.000000000000004</v>
      </c>
      <c r="AE7" s="1">
        <v>18.000000000000004</v>
      </c>
      <c r="AF7" s="1">
        <v>18.000000000000004</v>
      </c>
      <c r="AG7" s="1">
        <v>18.000000000000004</v>
      </c>
      <c r="AH7" s="1">
        <v>18.000000000000004</v>
      </c>
      <c r="AI7" s="1">
        <v>18.000000000000004</v>
      </c>
      <c r="AJ7" s="1">
        <v>18.000000000000004</v>
      </c>
      <c r="AK7" s="1">
        <v>20</v>
      </c>
      <c r="AL7" s="1">
        <v>20</v>
      </c>
    </row>
    <row r="8" spans="1:38">
      <c r="A8" s="1" t="s">
        <v>47</v>
      </c>
      <c r="B8" s="1" t="s">
        <v>48</v>
      </c>
      <c r="C8" s="1">
        <v>60000</v>
      </c>
      <c r="D8" s="1">
        <v>60000</v>
      </c>
      <c r="E8" s="1">
        <v>60000</v>
      </c>
      <c r="F8" s="1">
        <v>60000</v>
      </c>
      <c r="G8" s="1">
        <v>60000</v>
      </c>
      <c r="H8" s="1">
        <v>60000</v>
      </c>
      <c r="I8" s="1">
        <v>60000</v>
      </c>
      <c r="J8" s="1">
        <v>60000</v>
      </c>
      <c r="K8" s="1">
        <v>60000</v>
      </c>
      <c r="L8" s="1">
        <v>60000</v>
      </c>
      <c r="M8" s="1">
        <v>60000</v>
      </c>
      <c r="N8" s="1">
        <v>60000</v>
      </c>
      <c r="O8" s="1">
        <v>60000</v>
      </c>
      <c r="P8" s="1">
        <v>60000</v>
      </c>
      <c r="Q8" s="1">
        <v>60000</v>
      </c>
      <c r="R8" s="1">
        <v>60000</v>
      </c>
      <c r="S8" s="1">
        <v>60000</v>
      </c>
      <c r="T8" s="1">
        <v>60000</v>
      </c>
      <c r="U8" s="1">
        <v>60000</v>
      </c>
      <c r="V8" s="1">
        <v>60000</v>
      </c>
      <c r="W8" s="1">
        <v>60000</v>
      </c>
      <c r="X8" s="1">
        <v>60000</v>
      </c>
      <c r="Y8" s="1">
        <v>60000</v>
      </c>
      <c r="Z8" s="1">
        <v>60000</v>
      </c>
      <c r="AA8" s="1">
        <v>60000</v>
      </c>
      <c r="AB8" s="1">
        <v>60000</v>
      </c>
      <c r="AC8" s="1">
        <v>60000</v>
      </c>
      <c r="AD8" s="1">
        <v>60000</v>
      </c>
      <c r="AE8" s="1">
        <v>60000</v>
      </c>
      <c r="AF8" s="1">
        <v>60000</v>
      </c>
      <c r="AG8" s="1">
        <v>60000</v>
      </c>
      <c r="AH8" s="1">
        <v>60000</v>
      </c>
      <c r="AI8" s="1">
        <v>60000</v>
      </c>
      <c r="AJ8" s="1">
        <v>60000</v>
      </c>
      <c r="AK8" s="1">
        <v>60000</v>
      </c>
      <c r="AL8" s="1">
        <v>60000</v>
      </c>
    </row>
    <row r="9" spans="1:38">
      <c r="A9" s="1" t="s">
        <v>52</v>
      </c>
      <c r="B9" s="1" t="s">
        <v>50</v>
      </c>
      <c r="C9" s="1">
        <f t="shared" ref="C9:AL9" si="1">C8*C7</f>
        <v>0</v>
      </c>
      <c r="D9" s="1">
        <f t="shared" si="1"/>
        <v>0</v>
      </c>
      <c r="E9" s="1">
        <f t="shared" si="1"/>
        <v>0</v>
      </c>
      <c r="F9" s="1">
        <f t="shared" si="1"/>
        <v>0</v>
      </c>
      <c r="G9" s="1">
        <f t="shared" si="1"/>
        <v>0</v>
      </c>
      <c r="H9" s="1">
        <f t="shared" si="1"/>
        <v>0</v>
      </c>
      <c r="I9" s="1">
        <f t="shared" si="1"/>
        <v>0</v>
      </c>
      <c r="J9" s="1">
        <f t="shared" si="1"/>
        <v>0</v>
      </c>
      <c r="K9" s="1">
        <f t="shared" si="1"/>
        <v>0</v>
      </c>
      <c r="L9" s="1">
        <f t="shared" si="1"/>
        <v>0</v>
      </c>
      <c r="M9" s="1">
        <f t="shared" si="1"/>
        <v>0</v>
      </c>
      <c r="N9" s="1">
        <f t="shared" si="1"/>
        <v>0</v>
      </c>
      <c r="O9" s="1">
        <f t="shared" si="1"/>
        <v>180000.00000000003</v>
      </c>
      <c r="P9" s="1">
        <f t="shared" si="1"/>
        <v>300000</v>
      </c>
      <c r="Q9" s="1">
        <f t="shared" si="1"/>
        <v>600000</v>
      </c>
      <c r="R9" s="1">
        <f t="shared" si="1"/>
        <v>600000</v>
      </c>
      <c r="S9" s="1">
        <f t="shared" si="1"/>
        <v>600000</v>
      </c>
      <c r="T9" s="1">
        <f t="shared" si="1"/>
        <v>600000</v>
      </c>
      <c r="U9" s="1">
        <f t="shared" si="1"/>
        <v>600000</v>
      </c>
      <c r="V9" s="1">
        <f t="shared" si="1"/>
        <v>600000</v>
      </c>
      <c r="W9" s="1">
        <f t="shared" si="1"/>
        <v>600000</v>
      </c>
      <c r="X9" s="1">
        <f t="shared" si="1"/>
        <v>600000</v>
      </c>
      <c r="Y9" s="1">
        <f t="shared" si="1"/>
        <v>900000</v>
      </c>
      <c r="Z9" s="1">
        <f t="shared" si="1"/>
        <v>900000</v>
      </c>
      <c r="AA9" s="1">
        <f t="shared" si="1"/>
        <v>1080000.0000000002</v>
      </c>
      <c r="AB9" s="1">
        <f t="shared" si="1"/>
        <v>1080000.0000000002</v>
      </c>
      <c r="AC9" s="1">
        <f t="shared" si="1"/>
        <v>1080000.0000000002</v>
      </c>
      <c r="AD9" s="1">
        <f t="shared" si="1"/>
        <v>1080000.0000000002</v>
      </c>
      <c r="AE9" s="1">
        <f t="shared" si="1"/>
        <v>1080000.0000000002</v>
      </c>
      <c r="AF9" s="1">
        <f t="shared" si="1"/>
        <v>1080000.0000000002</v>
      </c>
      <c r="AG9" s="1">
        <f t="shared" si="1"/>
        <v>1080000.0000000002</v>
      </c>
      <c r="AH9" s="1">
        <f t="shared" si="1"/>
        <v>1080000.0000000002</v>
      </c>
      <c r="AI9" s="1">
        <f t="shared" si="1"/>
        <v>1080000.0000000002</v>
      </c>
      <c r="AJ9" s="1">
        <f t="shared" si="1"/>
        <v>1080000.0000000002</v>
      </c>
      <c r="AK9" s="1">
        <f t="shared" si="1"/>
        <v>1200000</v>
      </c>
      <c r="AL9" s="1">
        <f t="shared" si="1"/>
        <v>1200000</v>
      </c>
    </row>
    <row r="10" spans="1:38">
      <c r="A10" s="1" t="s">
        <v>53</v>
      </c>
      <c r="B10" s="1" t="s">
        <v>54</v>
      </c>
      <c r="C10" s="1">
        <f t="shared" ref="C10:AL10" si="2">SUM(C5,C9)</f>
        <v>0</v>
      </c>
      <c r="D10" s="1">
        <f t="shared" si="2"/>
        <v>0</v>
      </c>
      <c r="E10" s="1">
        <f t="shared" si="2"/>
        <v>0</v>
      </c>
      <c r="F10" s="1">
        <f t="shared" si="2"/>
        <v>0</v>
      </c>
      <c r="G10" s="1">
        <f t="shared" si="2"/>
        <v>0</v>
      </c>
      <c r="H10" s="1">
        <f t="shared" si="2"/>
        <v>0</v>
      </c>
      <c r="I10" s="1">
        <f t="shared" si="2"/>
        <v>0</v>
      </c>
      <c r="J10" s="1">
        <f t="shared" si="2"/>
        <v>0</v>
      </c>
      <c r="K10" s="1">
        <f t="shared" si="2"/>
        <v>0</v>
      </c>
      <c r="L10" s="1">
        <f t="shared" si="2"/>
        <v>0</v>
      </c>
      <c r="M10" s="1">
        <f t="shared" si="2"/>
        <v>0</v>
      </c>
      <c r="N10" s="1">
        <f t="shared" si="2"/>
        <v>0</v>
      </c>
      <c r="O10" s="1">
        <f t="shared" si="2"/>
        <v>380000</v>
      </c>
      <c r="P10" s="1">
        <f t="shared" si="2"/>
        <v>600000</v>
      </c>
      <c r="Q10" s="1">
        <f t="shared" si="2"/>
        <v>1200000</v>
      </c>
      <c r="R10" s="1">
        <f t="shared" si="2"/>
        <v>1200000</v>
      </c>
      <c r="S10" s="1">
        <f t="shared" si="2"/>
        <v>1200000</v>
      </c>
      <c r="T10" s="1">
        <f t="shared" si="2"/>
        <v>1200000</v>
      </c>
      <c r="U10" s="1">
        <f t="shared" si="2"/>
        <v>1200000</v>
      </c>
      <c r="V10" s="1">
        <f t="shared" si="2"/>
        <v>1200000</v>
      </c>
      <c r="W10" s="1">
        <f t="shared" si="2"/>
        <v>1200000</v>
      </c>
      <c r="X10" s="1">
        <f t="shared" si="2"/>
        <v>1200000</v>
      </c>
      <c r="Y10" s="1">
        <f t="shared" si="2"/>
        <v>1600000</v>
      </c>
      <c r="Z10" s="1">
        <f t="shared" si="2"/>
        <v>1600000</v>
      </c>
      <c r="AA10" s="1">
        <f t="shared" si="2"/>
        <v>2080000.0000000002</v>
      </c>
      <c r="AB10" s="1">
        <f t="shared" si="2"/>
        <v>1880000.0000000002</v>
      </c>
      <c r="AC10" s="1">
        <f t="shared" si="2"/>
        <v>1880000.0000000002</v>
      </c>
      <c r="AD10" s="1">
        <f t="shared" si="2"/>
        <v>1880000.0000000002</v>
      </c>
      <c r="AE10" s="1">
        <f t="shared" si="2"/>
        <v>1880000.0000000002</v>
      </c>
      <c r="AF10" s="1">
        <f t="shared" si="2"/>
        <v>1880000.0000000002</v>
      </c>
      <c r="AG10" s="1">
        <f t="shared" si="2"/>
        <v>1880000.0000000002</v>
      </c>
      <c r="AH10" s="1">
        <f t="shared" si="2"/>
        <v>1880000.0000000002</v>
      </c>
      <c r="AI10" s="1">
        <f t="shared" si="2"/>
        <v>1880000.0000000002</v>
      </c>
      <c r="AJ10" s="1">
        <f t="shared" si="2"/>
        <v>1880000.0000000002</v>
      </c>
      <c r="AK10" s="1">
        <f t="shared" si="2"/>
        <v>2200000</v>
      </c>
      <c r="AL10" s="1">
        <f t="shared" si="2"/>
        <v>2200000</v>
      </c>
    </row>
    <row r="16" spans="1:38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3:38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N27"/>
  <sheetViews>
    <sheetView workbookViewId="0">
      <selection activeCell="A45" sqref="A45"/>
    </sheetView>
  </sheetViews>
  <sheetFormatPr defaultColWidth="12.5703125" defaultRowHeight="15.75" customHeight="1"/>
  <cols>
    <col min="1" max="1" width="56.85546875" customWidth="1"/>
    <col min="2" max="2" width="32.28515625" customWidth="1"/>
    <col min="26" max="40" width="13.140625" customWidth="1"/>
  </cols>
  <sheetData>
    <row r="1" spans="1:40">
      <c r="A1" s="1" t="s">
        <v>42</v>
      </c>
      <c r="B1" s="1" t="s">
        <v>43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40">
      <c r="A2" s="1" t="s">
        <v>55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</row>
    <row r="3" spans="1:40">
      <c r="A3" s="1" t="s">
        <v>56</v>
      </c>
      <c r="B3" s="1" t="s">
        <v>48</v>
      </c>
      <c r="C3" s="1">
        <v>3000</v>
      </c>
      <c r="D3" s="1">
        <v>3000</v>
      </c>
      <c r="E3" s="1">
        <v>3000</v>
      </c>
      <c r="F3" s="1">
        <v>3000</v>
      </c>
      <c r="G3" s="1">
        <v>3000</v>
      </c>
      <c r="H3" s="1">
        <v>3000</v>
      </c>
      <c r="I3" s="1">
        <v>3000</v>
      </c>
      <c r="J3" s="1">
        <v>3000</v>
      </c>
      <c r="K3" s="1">
        <v>3000</v>
      </c>
      <c r="L3" s="1">
        <v>3000</v>
      </c>
      <c r="M3" s="1">
        <v>3000</v>
      </c>
      <c r="N3" s="1">
        <v>3000</v>
      </c>
      <c r="O3" s="1">
        <v>3000</v>
      </c>
      <c r="P3" s="1">
        <v>3000</v>
      </c>
      <c r="Q3" s="1">
        <v>3000</v>
      </c>
      <c r="R3" s="1">
        <v>3000</v>
      </c>
      <c r="S3" s="1">
        <v>3000</v>
      </c>
      <c r="T3" s="1">
        <v>3000</v>
      </c>
      <c r="U3" s="1">
        <v>3000</v>
      </c>
      <c r="V3" s="1">
        <v>3000</v>
      </c>
      <c r="W3" s="1">
        <v>3000</v>
      </c>
      <c r="X3" s="1">
        <v>3000</v>
      </c>
      <c r="Y3" s="1">
        <v>3000</v>
      </c>
      <c r="Z3" s="1">
        <v>3000</v>
      </c>
      <c r="AA3" s="1">
        <v>3000</v>
      </c>
      <c r="AB3" s="1">
        <v>3000</v>
      </c>
      <c r="AC3" s="1">
        <v>3000</v>
      </c>
      <c r="AD3" s="1">
        <v>3000</v>
      </c>
      <c r="AE3" s="1">
        <v>3000</v>
      </c>
      <c r="AF3" s="1">
        <v>3000</v>
      </c>
      <c r="AG3" s="1">
        <v>3000</v>
      </c>
      <c r="AH3" s="1">
        <v>3000</v>
      </c>
      <c r="AI3" s="1">
        <v>3000</v>
      </c>
      <c r="AJ3" s="1">
        <v>3000</v>
      </c>
      <c r="AK3" s="1">
        <v>3000</v>
      </c>
      <c r="AL3" s="1">
        <v>3000</v>
      </c>
    </row>
    <row r="4" spans="1:40">
      <c r="A4" s="1" t="s">
        <v>57</v>
      </c>
      <c r="B4" s="1" t="s">
        <v>48</v>
      </c>
      <c r="C4" s="1">
        <v>2000</v>
      </c>
      <c r="D4" s="1">
        <v>2000</v>
      </c>
      <c r="E4" s="1">
        <v>2000</v>
      </c>
      <c r="F4" s="1">
        <v>2000</v>
      </c>
      <c r="G4" s="1">
        <v>2000</v>
      </c>
      <c r="H4" s="1">
        <v>2000</v>
      </c>
      <c r="I4" s="1">
        <v>2000</v>
      </c>
      <c r="J4" s="1">
        <v>2000</v>
      </c>
      <c r="K4" s="1">
        <v>2000</v>
      </c>
      <c r="L4" s="1">
        <v>2000</v>
      </c>
      <c r="M4" s="1">
        <v>2000</v>
      </c>
      <c r="N4" s="1">
        <v>2000</v>
      </c>
      <c r="O4" s="1">
        <v>2000</v>
      </c>
      <c r="P4" s="1">
        <v>2000</v>
      </c>
      <c r="Q4" s="1">
        <v>2000</v>
      </c>
      <c r="R4" s="1">
        <v>2000</v>
      </c>
      <c r="S4" s="1">
        <v>2000</v>
      </c>
      <c r="T4" s="1">
        <v>2000</v>
      </c>
      <c r="U4" s="1">
        <v>2000</v>
      </c>
      <c r="V4" s="1">
        <v>2000</v>
      </c>
      <c r="W4" s="1">
        <v>2000</v>
      </c>
      <c r="X4" s="1">
        <v>2000</v>
      </c>
      <c r="Y4" s="1">
        <v>2000</v>
      </c>
      <c r="Z4" s="1">
        <v>2000</v>
      </c>
      <c r="AA4" s="1">
        <v>2000</v>
      </c>
      <c r="AB4" s="1">
        <v>2000</v>
      </c>
      <c r="AC4" s="1">
        <v>2000</v>
      </c>
      <c r="AD4" s="1">
        <v>2000</v>
      </c>
      <c r="AE4" s="1">
        <v>2000</v>
      </c>
      <c r="AF4" s="1">
        <v>2000</v>
      </c>
      <c r="AG4" s="1">
        <v>2000</v>
      </c>
      <c r="AH4" s="1">
        <v>2000</v>
      </c>
      <c r="AI4" s="1">
        <v>2000</v>
      </c>
      <c r="AJ4" s="1">
        <v>2000</v>
      </c>
      <c r="AK4" s="1">
        <v>2000</v>
      </c>
      <c r="AL4" s="1">
        <v>2000</v>
      </c>
    </row>
    <row r="5" spans="1:40">
      <c r="A5" s="1" t="s">
        <v>58</v>
      </c>
      <c r="B5" s="1" t="s">
        <v>48</v>
      </c>
      <c r="C5" s="1">
        <v>2500</v>
      </c>
      <c r="D5" s="1">
        <v>2500</v>
      </c>
      <c r="E5" s="1">
        <v>2500</v>
      </c>
      <c r="F5" s="1">
        <v>2500</v>
      </c>
      <c r="G5" s="1">
        <v>2500</v>
      </c>
      <c r="H5" s="1">
        <v>2500</v>
      </c>
      <c r="I5" s="1">
        <v>2500</v>
      </c>
      <c r="J5" s="1">
        <v>2500</v>
      </c>
      <c r="K5" s="1">
        <v>2500</v>
      </c>
      <c r="L5" s="1">
        <v>2500</v>
      </c>
      <c r="M5" s="1">
        <v>2500</v>
      </c>
      <c r="N5" s="1">
        <v>2500</v>
      </c>
      <c r="O5" s="1">
        <v>2500</v>
      </c>
      <c r="P5" s="1">
        <v>2500</v>
      </c>
      <c r="Q5" s="1">
        <v>2500</v>
      </c>
      <c r="R5" s="1">
        <v>2500</v>
      </c>
      <c r="S5" s="1">
        <v>2500</v>
      </c>
      <c r="T5" s="1">
        <v>2500</v>
      </c>
      <c r="U5" s="1">
        <v>2500</v>
      </c>
      <c r="V5" s="1">
        <v>2500</v>
      </c>
      <c r="W5" s="1">
        <v>2500</v>
      </c>
      <c r="X5" s="1">
        <v>2500</v>
      </c>
      <c r="Y5" s="1">
        <v>2500</v>
      </c>
      <c r="Z5" s="1">
        <v>2500</v>
      </c>
      <c r="AA5" s="1">
        <v>2500</v>
      </c>
      <c r="AB5" s="1">
        <v>2500</v>
      </c>
      <c r="AC5" s="1">
        <v>2500</v>
      </c>
      <c r="AD5" s="1">
        <v>2500</v>
      </c>
      <c r="AE5" s="1">
        <v>2500</v>
      </c>
      <c r="AF5" s="1">
        <v>2500</v>
      </c>
      <c r="AG5" s="1">
        <v>2500</v>
      </c>
      <c r="AH5" s="1">
        <v>2500</v>
      </c>
      <c r="AI5" s="1">
        <v>2500</v>
      </c>
      <c r="AJ5" s="1">
        <v>2500</v>
      </c>
      <c r="AK5" s="1">
        <v>2500</v>
      </c>
      <c r="AL5" s="1">
        <v>2500</v>
      </c>
    </row>
    <row r="6" spans="1:40">
      <c r="A6" s="1" t="s">
        <v>59</v>
      </c>
      <c r="B6" s="1" t="s">
        <v>48</v>
      </c>
      <c r="C6" s="1">
        <v>500</v>
      </c>
      <c r="D6" s="1">
        <v>500</v>
      </c>
      <c r="E6" s="1">
        <v>500</v>
      </c>
      <c r="F6" s="1">
        <v>500</v>
      </c>
      <c r="G6" s="1">
        <v>500</v>
      </c>
      <c r="H6" s="1">
        <v>500</v>
      </c>
      <c r="I6" s="1">
        <v>500</v>
      </c>
      <c r="J6" s="1">
        <v>500</v>
      </c>
      <c r="K6" s="1">
        <v>500</v>
      </c>
      <c r="L6" s="1">
        <v>500</v>
      </c>
      <c r="M6" s="1">
        <v>500</v>
      </c>
      <c r="N6" s="1">
        <v>500</v>
      </c>
      <c r="O6" s="1">
        <v>500</v>
      </c>
      <c r="P6" s="1">
        <v>500</v>
      </c>
      <c r="Q6" s="1">
        <v>500</v>
      </c>
      <c r="R6" s="1">
        <v>500</v>
      </c>
      <c r="S6" s="1">
        <v>500</v>
      </c>
      <c r="T6" s="1">
        <v>500</v>
      </c>
      <c r="U6" s="1">
        <v>500</v>
      </c>
      <c r="V6" s="1">
        <v>500</v>
      </c>
      <c r="W6" s="1">
        <v>500</v>
      </c>
      <c r="X6" s="1">
        <v>500</v>
      </c>
      <c r="Y6" s="1">
        <v>500</v>
      </c>
      <c r="Z6" s="1">
        <v>500</v>
      </c>
      <c r="AA6" s="1">
        <v>500</v>
      </c>
      <c r="AB6" s="1">
        <v>500</v>
      </c>
      <c r="AC6" s="1">
        <v>500</v>
      </c>
      <c r="AD6" s="1">
        <v>500</v>
      </c>
      <c r="AE6" s="1">
        <v>500</v>
      </c>
      <c r="AF6" s="1">
        <v>500</v>
      </c>
      <c r="AG6" s="1">
        <v>500</v>
      </c>
      <c r="AH6" s="1">
        <v>500</v>
      </c>
      <c r="AI6" s="1">
        <v>500</v>
      </c>
      <c r="AJ6" s="1">
        <v>500</v>
      </c>
      <c r="AK6" s="1">
        <v>500</v>
      </c>
      <c r="AL6" s="1">
        <v>500</v>
      </c>
    </row>
    <row r="7" spans="1:40">
      <c r="A7" s="1" t="s">
        <v>60</v>
      </c>
      <c r="B7" s="1" t="s">
        <v>48</v>
      </c>
      <c r="C7" s="1">
        <v>2000</v>
      </c>
      <c r="D7" s="1">
        <v>2000</v>
      </c>
      <c r="E7" s="1">
        <v>2000</v>
      </c>
      <c r="F7" s="1">
        <v>2000</v>
      </c>
      <c r="G7" s="1">
        <v>2000</v>
      </c>
      <c r="H7" s="1">
        <v>2000</v>
      </c>
      <c r="I7" s="1">
        <v>2000</v>
      </c>
      <c r="J7" s="1">
        <v>2000</v>
      </c>
      <c r="K7" s="1">
        <v>2000</v>
      </c>
      <c r="L7" s="1">
        <v>2000</v>
      </c>
      <c r="M7" s="1">
        <v>2000</v>
      </c>
      <c r="N7" s="1">
        <v>2000</v>
      </c>
      <c r="O7" s="1">
        <v>2000</v>
      </c>
      <c r="P7" s="1">
        <v>2000</v>
      </c>
      <c r="Q7" s="1">
        <v>2000</v>
      </c>
      <c r="R7" s="1">
        <v>2000</v>
      </c>
      <c r="S7" s="1">
        <v>2000</v>
      </c>
      <c r="T7" s="1">
        <v>2000</v>
      </c>
      <c r="U7" s="1">
        <v>2000</v>
      </c>
      <c r="V7" s="1">
        <v>2000</v>
      </c>
      <c r="W7" s="1">
        <v>2000</v>
      </c>
      <c r="X7" s="1">
        <v>2000</v>
      </c>
      <c r="Y7" s="1">
        <v>2000</v>
      </c>
      <c r="Z7" s="1">
        <v>2000</v>
      </c>
      <c r="AA7" s="1">
        <v>2000</v>
      </c>
      <c r="AB7" s="1">
        <v>2000</v>
      </c>
      <c r="AC7" s="1">
        <v>2000</v>
      </c>
      <c r="AD7" s="1">
        <v>2000</v>
      </c>
      <c r="AE7" s="1">
        <v>2000</v>
      </c>
      <c r="AF7" s="1">
        <v>2000</v>
      </c>
      <c r="AG7" s="1">
        <v>2000</v>
      </c>
      <c r="AH7" s="1">
        <v>2000</v>
      </c>
      <c r="AI7" s="1">
        <v>2000</v>
      </c>
      <c r="AJ7" s="1">
        <v>2000</v>
      </c>
      <c r="AK7" s="1">
        <v>2000</v>
      </c>
      <c r="AL7" s="1">
        <v>2000</v>
      </c>
    </row>
    <row r="8" spans="1:40">
      <c r="A8" s="1" t="s">
        <v>61</v>
      </c>
      <c r="B8" s="1" t="s">
        <v>62</v>
      </c>
      <c r="C8" s="1">
        <f t="shared" ref="C8:AL8" si="0">SUM(C3:C7)</f>
        <v>10000</v>
      </c>
      <c r="D8" s="1">
        <f t="shared" si="0"/>
        <v>10000</v>
      </c>
      <c r="E8" s="1">
        <f t="shared" si="0"/>
        <v>10000</v>
      </c>
      <c r="F8" s="1">
        <f t="shared" si="0"/>
        <v>10000</v>
      </c>
      <c r="G8" s="1">
        <f t="shared" si="0"/>
        <v>10000</v>
      </c>
      <c r="H8" s="1">
        <f t="shared" si="0"/>
        <v>10000</v>
      </c>
      <c r="I8" s="1">
        <f t="shared" si="0"/>
        <v>10000</v>
      </c>
      <c r="J8" s="1">
        <f t="shared" si="0"/>
        <v>10000</v>
      </c>
      <c r="K8" s="1">
        <f t="shared" si="0"/>
        <v>10000</v>
      </c>
      <c r="L8" s="1">
        <f t="shared" si="0"/>
        <v>10000</v>
      </c>
      <c r="M8" s="1">
        <f t="shared" si="0"/>
        <v>10000</v>
      </c>
      <c r="N8" s="1">
        <f t="shared" si="0"/>
        <v>10000</v>
      </c>
      <c r="O8" s="1">
        <f t="shared" si="0"/>
        <v>10000</v>
      </c>
      <c r="P8" s="1">
        <f t="shared" si="0"/>
        <v>10000</v>
      </c>
      <c r="Q8" s="1">
        <f t="shared" si="0"/>
        <v>10000</v>
      </c>
      <c r="R8" s="1">
        <f t="shared" si="0"/>
        <v>10000</v>
      </c>
      <c r="S8" s="1">
        <f t="shared" si="0"/>
        <v>10000</v>
      </c>
      <c r="T8" s="1">
        <f t="shared" si="0"/>
        <v>10000</v>
      </c>
      <c r="U8" s="1">
        <f t="shared" si="0"/>
        <v>10000</v>
      </c>
      <c r="V8" s="1">
        <f t="shared" si="0"/>
        <v>10000</v>
      </c>
      <c r="W8" s="1">
        <f t="shared" si="0"/>
        <v>10000</v>
      </c>
      <c r="X8" s="1">
        <f t="shared" si="0"/>
        <v>10000</v>
      </c>
      <c r="Y8" s="1">
        <f t="shared" si="0"/>
        <v>10000</v>
      </c>
      <c r="Z8" s="1">
        <f t="shared" si="0"/>
        <v>10000</v>
      </c>
      <c r="AA8" s="1">
        <f t="shared" si="0"/>
        <v>10000</v>
      </c>
      <c r="AB8" s="1">
        <f t="shared" si="0"/>
        <v>10000</v>
      </c>
      <c r="AC8" s="1">
        <f t="shared" si="0"/>
        <v>10000</v>
      </c>
      <c r="AD8" s="1">
        <f t="shared" si="0"/>
        <v>10000</v>
      </c>
      <c r="AE8" s="1">
        <f t="shared" si="0"/>
        <v>10000</v>
      </c>
      <c r="AF8" s="1">
        <f t="shared" si="0"/>
        <v>10000</v>
      </c>
      <c r="AG8" s="1">
        <f t="shared" si="0"/>
        <v>10000</v>
      </c>
      <c r="AH8" s="1">
        <f t="shared" si="0"/>
        <v>10000</v>
      </c>
      <c r="AI8" s="1">
        <f t="shared" si="0"/>
        <v>10000</v>
      </c>
      <c r="AJ8" s="1">
        <f t="shared" si="0"/>
        <v>10000</v>
      </c>
      <c r="AK8" s="1">
        <f t="shared" si="0"/>
        <v>10000</v>
      </c>
      <c r="AL8" s="1">
        <f t="shared" si="0"/>
        <v>10000</v>
      </c>
    </row>
    <row r="9" spans="1:40">
      <c r="A9" s="1" t="s">
        <v>63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40">
      <c r="A10" s="1" t="s">
        <v>64</v>
      </c>
      <c r="B10" s="1" t="s">
        <v>48</v>
      </c>
      <c r="C10" s="1">
        <v>15000</v>
      </c>
      <c r="D10" s="1">
        <v>15000</v>
      </c>
      <c r="E10" s="1">
        <v>15000</v>
      </c>
      <c r="F10" s="1">
        <v>15000</v>
      </c>
      <c r="G10" s="1">
        <v>15000</v>
      </c>
      <c r="H10" s="1">
        <v>15000</v>
      </c>
      <c r="I10" s="1">
        <v>15000</v>
      </c>
      <c r="J10" s="1">
        <v>15000</v>
      </c>
      <c r="K10" s="1">
        <v>15000</v>
      </c>
      <c r="L10" s="1">
        <v>15000</v>
      </c>
      <c r="M10" s="1">
        <v>15000</v>
      </c>
      <c r="N10" s="1">
        <v>15000</v>
      </c>
      <c r="O10" s="1">
        <v>15000</v>
      </c>
      <c r="P10" s="1">
        <v>15000</v>
      </c>
      <c r="Q10" s="1">
        <v>15000</v>
      </c>
      <c r="R10" s="1">
        <v>15000</v>
      </c>
      <c r="S10" s="1">
        <v>15000</v>
      </c>
      <c r="T10" s="1">
        <v>15000</v>
      </c>
      <c r="U10" s="1">
        <v>15000</v>
      </c>
      <c r="V10" s="1">
        <v>15000</v>
      </c>
      <c r="W10" s="1">
        <v>15000</v>
      </c>
      <c r="X10" s="1">
        <v>15000</v>
      </c>
      <c r="Y10" s="1">
        <v>15000</v>
      </c>
      <c r="Z10" s="1">
        <v>15000</v>
      </c>
      <c r="AA10" s="1">
        <v>15000</v>
      </c>
      <c r="AB10" s="1">
        <v>15000</v>
      </c>
      <c r="AC10" s="1">
        <v>15000</v>
      </c>
      <c r="AD10" s="1">
        <v>15000</v>
      </c>
      <c r="AE10" s="1">
        <v>15000</v>
      </c>
      <c r="AF10" s="1">
        <v>15000</v>
      </c>
      <c r="AG10" s="1">
        <v>15000</v>
      </c>
      <c r="AH10" s="1">
        <v>15000</v>
      </c>
      <c r="AI10" s="1">
        <v>15000</v>
      </c>
      <c r="AJ10" s="1">
        <v>15000</v>
      </c>
      <c r="AK10" s="1">
        <v>15000</v>
      </c>
      <c r="AL10" s="1">
        <v>15000</v>
      </c>
    </row>
    <row r="11" spans="1:40">
      <c r="A11" s="1" t="s">
        <v>65</v>
      </c>
      <c r="B11" s="1" t="s">
        <v>48</v>
      </c>
      <c r="C11" s="1">
        <v>10000</v>
      </c>
      <c r="D11" s="1">
        <v>10000</v>
      </c>
      <c r="E11" s="1">
        <v>10000</v>
      </c>
      <c r="F11" s="1">
        <v>10000</v>
      </c>
      <c r="G11" s="1">
        <v>10000</v>
      </c>
      <c r="H11" s="1">
        <v>10000</v>
      </c>
      <c r="I11" s="1">
        <v>10000</v>
      </c>
      <c r="J11" s="1">
        <v>10000</v>
      </c>
      <c r="K11" s="1">
        <v>10000</v>
      </c>
      <c r="L11" s="1">
        <v>10000</v>
      </c>
      <c r="M11" s="1">
        <v>10000</v>
      </c>
      <c r="N11" s="1">
        <v>10000</v>
      </c>
      <c r="O11" s="1">
        <v>10000</v>
      </c>
      <c r="P11" s="1">
        <v>10000</v>
      </c>
      <c r="Q11" s="1">
        <v>10000</v>
      </c>
      <c r="R11" s="1">
        <v>10000</v>
      </c>
      <c r="S11" s="1">
        <v>10000</v>
      </c>
      <c r="T11" s="1">
        <v>10000</v>
      </c>
      <c r="U11" s="1">
        <v>10000</v>
      </c>
      <c r="V11" s="1">
        <v>10000</v>
      </c>
      <c r="W11" s="1">
        <v>10000</v>
      </c>
      <c r="X11" s="1">
        <v>10000</v>
      </c>
      <c r="Y11" s="1">
        <v>10000</v>
      </c>
      <c r="Z11" s="1">
        <v>10000</v>
      </c>
      <c r="AA11" s="1">
        <v>10000</v>
      </c>
      <c r="AB11" s="1">
        <v>10000</v>
      </c>
      <c r="AC11" s="1">
        <v>10000</v>
      </c>
      <c r="AD11" s="1">
        <v>10000</v>
      </c>
      <c r="AE11" s="1">
        <v>10000</v>
      </c>
      <c r="AF11" s="1">
        <v>10000</v>
      </c>
      <c r="AG11" s="1">
        <v>10000</v>
      </c>
      <c r="AH11" s="1">
        <v>10000</v>
      </c>
      <c r="AI11" s="1">
        <v>10000</v>
      </c>
      <c r="AJ11" s="1">
        <v>10000</v>
      </c>
      <c r="AK11" s="1">
        <v>10000</v>
      </c>
      <c r="AL11" s="1">
        <v>10000</v>
      </c>
    </row>
    <row r="12" spans="1:40">
      <c r="A12" s="1" t="s">
        <v>66</v>
      </c>
      <c r="B12" s="1" t="s">
        <v>48</v>
      </c>
      <c r="C12" s="1">
        <v>8000</v>
      </c>
      <c r="D12" s="1">
        <v>8000</v>
      </c>
      <c r="E12" s="1">
        <v>8000</v>
      </c>
      <c r="F12" s="1">
        <v>8000</v>
      </c>
      <c r="G12" s="1">
        <v>8000</v>
      </c>
      <c r="H12" s="1">
        <v>8000</v>
      </c>
      <c r="I12" s="1">
        <v>8000</v>
      </c>
      <c r="J12" s="1">
        <v>8000</v>
      </c>
      <c r="K12" s="1">
        <v>8000</v>
      </c>
      <c r="L12" s="1">
        <v>8000</v>
      </c>
      <c r="M12" s="1">
        <v>8000</v>
      </c>
      <c r="N12" s="1">
        <v>8000</v>
      </c>
      <c r="O12" s="1">
        <v>8000</v>
      </c>
      <c r="P12" s="1">
        <v>8000</v>
      </c>
      <c r="Q12" s="1">
        <v>8000</v>
      </c>
      <c r="R12" s="1">
        <v>8000</v>
      </c>
      <c r="S12" s="1">
        <v>8000</v>
      </c>
      <c r="T12" s="1">
        <v>8000</v>
      </c>
      <c r="U12" s="1">
        <v>8000</v>
      </c>
      <c r="V12" s="1">
        <v>8000</v>
      </c>
      <c r="W12" s="1">
        <v>8000</v>
      </c>
      <c r="X12" s="1">
        <v>8000</v>
      </c>
      <c r="Y12" s="1">
        <v>8000</v>
      </c>
      <c r="Z12" s="1">
        <v>8000</v>
      </c>
      <c r="AA12" s="1">
        <v>8000</v>
      </c>
      <c r="AB12" s="1">
        <v>8000</v>
      </c>
      <c r="AC12" s="1">
        <v>8000</v>
      </c>
      <c r="AD12" s="1">
        <v>8000</v>
      </c>
      <c r="AE12" s="1">
        <v>8000</v>
      </c>
      <c r="AF12" s="1">
        <v>8000</v>
      </c>
      <c r="AG12" s="1">
        <v>8000</v>
      </c>
      <c r="AH12" s="1">
        <v>8000</v>
      </c>
      <c r="AI12" s="1">
        <v>8000</v>
      </c>
      <c r="AJ12" s="1">
        <v>8000</v>
      </c>
      <c r="AK12" s="1">
        <v>8000</v>
      </c>
      <c r="AL12" s="1">
        <v>8000</v>
      </c>
    </row>
    <row r="13" spans="1:40">
      <c r="A13" s="1" t="s">
        <v>59</v>
      </c>
      <c r="B13" s="1" t="s">
        <v>48</v>
      </c>
      <c r="C13" s="1">
        <v>2000</v>
      </c>
      <c r="D13" s="1">
        <v>2000</v>
      </c>
      <c r="E13" s="1">
        <v>2000</v>
      </c>
      <c r="F13" s="1">
        <v>2000</v>
      </c>
      <c r="G13" s="1">
        <v>2000</v>
      </c>
      <c r="H13" s="1">
        <v>2000</v>
      </c>
      <c r="I13" s="1">
        <v>2000</v>
      </c>
      <c r="J13" s="1">
        <v>2000</v>
      </c>
      <c r="K13" s="1">
        <v>2000</v>
      </c>
      <c r="L13" s="1">
        <v>2000</v>
      </c>
      <c r="M13" s="1">
        <v>2000</v>
      </c>
      <c r="N13" s="1">
        <v>2000</v>
      </c>
      <c r="O13" s="1">
        <v>2000</v>
      </c>
      <c r="P13" s="1">
        <v>2000</v>
      </c>
      <c r="Q13" s="1">
        <v>2000</v>
      </c>
      <c r="R13" s="1">
        <v>2000</v>
      </c>
      <c r="S13" s="1">
        <v>2000</v>
      </c>
      <c r="T13" s="1">
        <v>2000</v>
      </c>
      <c r="U13" s="1">
        <v>2000</v>
      </c>
      <c r="V13" s="1">
        <v>2000</v>
      </c>
      <c r="W13" s="1">
        <v>2000</v>
      </c>
      <c r="X13" s="1">
        <v>2000</v>
      </c>
      <c r="Y13" s="1">
        <v>2000</v>
      </c>
      <c r="Z13" s="1">
        <v>2000</v>
      </c>
      <c r="AA13" s="1">
        <v>2000</v>
      </c>
      <c r="AB13" s="1">
        <v>2000</v>
      </c>
      <c r="AC13" s="1">
        <v>2000</v>
      </c>
      <c r="AD13" s="1">
        <v>2000</v>
      </c>
      <c r="AE13" s="1">
        <v>2000</v>
      </c>
      <c r="AF13" s="1">
        <v>2000</v>
      </c>
      <c r="AG13" s="1">
        <v>2000</v>
      </c>
      <c r="AH13" s="1">
        <v>2000</v>
      </c>
      <c r="AI13" s="1">
        <v>2000</v>
      </c>
      <c r="AJ13" s="1">
        <v>2000</v>
      </c>
      <c r="AK13" s="1">
        <v>2000</v>
      </c>
      <c r="AL13" s="1">
        <v>2000</v>
      </c>
    </row>
    <row r="14" spans="1:40">
      <c r="A14" s="1" t="s">
        <v>60</v>
      </c>
      <c r="B14" s="1" t="s">
        <v>48</v>
      </c>
      <c r="C14" s="1">
        <v>5000</v>
      </c>
      <c r="D14" s="1">
        <v>5000</v>
      </c>
      <c r="E14" s="1">
        <v>5000</v>
      </c>
      <c r="F14" s="1">
        <v>5000</v>
      </c>
      <c r="G14" s="1">
        <v>5000</v>
      </c>
      <c r="H14" s="1">
        <v>5000</v>
      </c>
      <c r="I14" s="1">
        <v>5000</v>
      </c>
      <c r="J14" s="1">
        <v>5000</v>
      </c>
      <c r="K14" s="1">
        <v>5000</v>
      </c>
      <c r="L14" s="1">
        <v>5000</v>
      </c>
      <c r="M14" s="1">
        <v>5000</v>
      </c>
      <c r="N14" s="1">
        <v>5000</v>
      </c>
      <c r="O14" s="1">
        <v>5000</v>
      </c>
      <c r="P14" s="1">
        <v>5000</v>
      </c>
      <c r="Q14" s="1">
        <v>5000</v>
      </c>
      <c r="R14" s="1">
        <v>5000</v>
      </c>
      <c r="S14" s="1">
        <v>5000</v>
      </c>
      <c r="T14" s="1">
        <v>5000</v>
      </c>
      <c r="U14" s="1">
        <v>5000</v>
      </c>
      <c r="V14" s="1">
        <v>5000</v>
      </c>
      <c r="W14" s="1">
        <v>5000</v>
      </c>
      <c r="X14" s="1">
        <v>5000</v>
      </c>
      <c r="Y14" s="1">
        <v>5000</v>
      </c>
      <c r="Z14" s="1">
        <v>5000</v>
      </c>
      <c r="AA14" s="1">
        <v>5000</v>
      </c>
      <c r="AB14" s="1">
        <v>5000</v>
      </c>
      <c r="AC14" s="1">
        <v>5000</v>
      </c>
      <c r="AD14" s="1">
        <v>5000</v>
      </c>
      <c r="AE14" s="1">
        <v>5000</v>
      </c>
      <c r="AF14" s="1">
        <v>5000</v>
      </c>
      <c r="AG14" s="1">
        <v>5000</v>
      </c>
      <c r="AH14" s="1">
        <v>5000</v>
      </c>
      <c r="AI14" s="1">
        <v>5000</v>
      </c>
      <c r="AJ14" s="1">
        <v>5000</v>
      </c>
      <c r="AK14" s="1">
        <v>5000</v>
      </c>
      <c r="AL14" s="1">
        <v>5000</v>
      </c>
    </row>
    <row r="15" spans="1:40">
      <c r="A15" s="1" t="s">
        <v>67</v>
      </c>
      <c r="B15" s="1" t="s">
        <v>62</v>
      </c>
      <c r="C15" s="1">
        <f t="shared" ref="C15:AL15" si="1">SUM(C10:C14)</f>
        <v>40000</v>
      </c>
      <c r="D15" s="1">
        <f t="shared" si="1"/>
        <v>40000</v>
      </c>
      <c r="E15" s="1">
        <f t="shared" si="1"/>
        <v>40000</v>
      </c>
      <c r="F15" s="1">
        <f t="shared" si="1"/>
        <v>40000</v>
      </c>
      <c r="G15" s="1">
        <f t="shared" si="1"/>
        <v>40000</v>
      </c>
      <c r="H15" s="1">
        <f t="shared" si="1"/>
        <v>40000</v>
      </c>
      <c r="I15" s="1">
        <f t="shared" si="1"/>
        <v>40000</v>
      </c>
      <c r="J15" s="1">
        <f t="shared" si="1"/>
        <v>40000</v>
      </c>
      <c r="K15" s="1">
        <f t="shared" si="1"/>
        <v>40000</v>
      </c>
      <c r="L15" s="1">
        <f t="shared" si="1"/>
        <v>40000</v>
      </c>
      <c r="M15" s="1">
        <f t="shared" si="1"/>
        <v>40000</v>
      </c>
      <c r="N15" s="1">
        <f t="shared" si="1"/>
        <v>40000</v>
      </c>
      <c r="O15" s="1">
        <f t="shared" si="1"/>
        <v>40000</v>
      </c>
      <c r="P15" s="1">
        <f t="shared" si="1"/>
        <v>40000</v>
      </c>
      <c r="Q15" s="1">
        <f t="shared" si="1"/>
        <v>40000</v>
      </c>
      <c r="R15" s="1">
        <f t="shared" si="1"/>
        <v>40000</v>
      </c>
      <c r="S15" s="1">
        <f t="shared" si="1"/>
        <v>40000</v>
      </c>
      <c r="T15" s="1">
        <f t="shared" si="1"/>
        <v>40000</v>
      </c>
      <c r="U15" s="1">
        <f t="shared" si="1"/>
        <v>40000</v>
      </c>
      <c r="V15" s="1">
        <f t="shared" si="1"/>
        <v>40000</v>
      </c>
      <c r="W15" s="1">
        <f t="shared" si="1"/>
        <v>40000</v>
      </c>
      <c r="X15" s="1">
        <f t="shared" si="1"/>
        <v>40000</v>
      </c>
      <c r="Y15" s="1">
        <f t="shared" si="1"/>
        <v>40000</v>
      </c>
      <c r="Z15" s="1">
        <f t="shared" si="1"/>
        <v>40000</v>
      </c>
      <c r="AA15" s="1">
        <f t="shared" si="1"/>
        <v>40000</v>
      </c>
      <c r="AB15" s="1">
        <f t="shared" si="1"/>
        <v>40000</v>
      </c>
      <c r="AC15" s="1">
        <f t="shared" si="1"/>
        <v>40000</v>
      </c>
      <c r="AD15" s="1">
        <f t="shared" si="1"/>
        <v>40000</v>
      </c>
      <c r="AE15" s="1">
        <f t="shared" si="1"/>
        <v>40000</v>
      </c>
      <c r="AF15" s="1">
        <f t="shared" si="1"/>
        <v>40000</v>
      </c>
      <c r="AG15" s="1">
        <f t="shared" si="1"/>
        <v>40000</v>
      </c>
      <c r="AH15" s="1">
        <f t="shared" si="1"/>
        <v>40000</v>
      </c>
      <c r="AI15" s="1">
        <f t="shared" si="1"/>
        <v>40000</v>
      </c>
      <c r="AJ15" s="1">
        <f t="shared" si="1"/>
        <v>40000</v>
      </c>
      <c r="AK15" s="1">
        <f t="shared" si="1"/>
        <v>40000</v>
      </c>
      <c r="AL15" s="1">
        <f t="shared" si="1"/>
        <v>40000</v>
      </c>
    </row>
    <row r="16" spans="1:40">
      <c r="A16" s="1" t="s">
        <v>68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>
      <c r="A17" s="1" t="s">
        <v>69</v>
      </c>
      <c r="B17" s="1" t="s">
        <v>48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50000</v>
      </c>
      <c r="P17" s="1">
        <v>50000</v>
      </c>
      <c r="Q17" s="1">
        <v>50000</v>
      </c>
      <c r="R17" s="1">
        <v>50000</v>
      </c>
      <c r="S17" s="1">
        <v>50000</v>
      </c>
      <c r="T17" s="1">
        <v>50000</v>
      </c>
      <c r="U17" s="1">
        <v>50000</v>
      </c>
      <c r="V17" s="1">
        <v>50000</v>
      </c>
      <c r="W17" s="1">
        <v>50000</v>
      </c>
      <c r="X17" s="1">
        <v>50000</v>
      </c>
      <c r="Y17" s="1">
        <v>50000</v>
      </c>
      <c r="Z17" s="1">
        <v>50000</v>
      </c>
      <c r="AA17" s="1">
        <v>50000</v>
      </c>
      <c r="AB17" s="1">
        <v>50000</v>
      </c>
      <c r="AC17" s="1">
        <v>50000</v>
      </c>
      <c r="AD17" s="1">
        <v>50000</v>
      </c>
      <c r="AE17" s="1">
        <v>50000</v>
      </c>
      <c r="AF17" s="1">
        <v>50000</v>
      </c>
      <c r="AG17" s="1">
        <v>50000</v>
      </c>
      <c r="AH17" s="1">
        <v>50000</v>
      </c>
      <c r="AI17" s="1">
        <v>50000</v>
      </c>
      <c r="AJ17" s="1">
        <v>50000</v>
      </c>
      <c r="AK17" s="1">
        <v>50000</v>
      </c>
      <c r="AL17" s="1">
        <v>50000</v>
      </c>
    </row>
    <row r="18" spans="1:38">
      <c r="A18" s="1" t="s">
        <v>70</v>
      </c>
      <c r="B18" s="1" t="s">
        <v>48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40000</v>
      </c>
      <c r="P18" s="1">
        <v>40000</v>
      </c>
      <c r="Q18" s="1">
        <v>40000</v>
      </c>
      <c r="R18" s="1">
        <v>40000</v>
      </c>
      <c r="S18" s="1">
        <v>40000</v>
      </c>
      <c r="T18" s="1">
        <v>40000</v>
      </c>
      <c r="U18" s="1">
        <v>40000</v>
      </c>
      <c r="V18" s="1">
        <v>40000</v>
      </c>
      <c r="W18" s="1">
        <v>40000</v>
      </c>
      <c r="X18" s="1">
        <v>40000</v>
      </c>
      <c r="Y18" s="1">
        <v>40000</v>
      </c>
      <c r="Z18" s="1">
        <v>40000</v>
      </c>
      <c r="AA18" s="1">
        <v>40000</v>
      </c>
      <c r="AB18" s="1">
        <v>40000</v>
      </c>
      <c r="AC18" s="1">
        <v>40000</v>
      </c>
      <c r="AD18" s="1">
        <v>40000</v>
      </c>
      <c r="AE18" s="1">
        <v>40000</v>
      </c>
      <c r="AF18" s="1">
        <v>40000</v>
      </c>
      <c r="AG18" s="1">
        <v>40000</v>
      </c>
      <c r="AH18" s="1">
        <v>40000</v>
      </c>
      <c r="AI18" s="1">
        <v>40000</v>
      </c>
      <c r="AJ18" s="1">
        <v>40000</v>
      </c>
      <c r="AK18" s="1">
        <v>40000</v>
      </c>
      <c r="AL18" s="1">
        <v>40000</v>
      </c>
    </row>
    <row r="19" spans="1:38">
      <c r="A19" s="1" t="s">
        <v>71</v>
      </c>
      <c r="B19" s="1" t="s">
        <v>48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10000</v>
      </c>
      <c r="P19" s="1">
        <v>10000</v>
      </c>
      <c r="Q19" s="1">
        <v>10000</v>
      </c>
      <c r="R19" s="1">
        <v>10000</v>
      </c>
      <c r="S19" s="1">
        <v>10000</v>
      </c>
      <c r="T19" s="1">
        <v>10000</v>
      </c>
      <c r="U19" s="1">
        <v>10000</v>
      </c>
      <c r="V19" s="1">
        <v>10000</v>
      </c>
      <c r="W19" s="1">
        <v>10000</v>
      </c>
      <c r="X19" s="1">
        <v>10000</v>
      </c>
      <c r="Y19" s="1">
        <v>10000</v>
      </c>
      <c r="Z19" s="1">
        <v>10000</v>
      </c>
      <c r="AA19" s="1">
        <v>10000</v>
      </c>
      <c r="AB19" s="1">
        <v>10000</v>
      </c>
      <c r="AC19" s="1">
        <v>10000</v>
      </c>
      <c r="AD19" s="1">
        <v>10000</v>
      </c>
      <c r="AE19" s="1">
        <v>10000</v>
      </c>
      <c r="AF19" s="1">
        <v>10000</v>
      </c>
      <c r="AG19" s="1">
        <v>10000</v>
      </c>
      <c r="AH19" s="1">
        <v>10000</v>
      </c>
      <c r="AI19" s="1">
        <v>10000</v>
      </c>
      <c r="AJ19" s="1">
        <v>10000</v>
      </c>
      <c r="AK19" s="1">
        <v>10000</v>
      </c>
      <c r="AL19" s="1">
        <v>10000</v>
      </c>
    </row>
    <row r="20" spans="1:38">
      <c r="A20" s="1" t="s">
        <v>72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>
      <c r="A21" s="1" t="s">
        <v>73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>
      <c r="A22" s="1" t="s">
        <v>45</v>
      </c>
      <c r="B22" s="1" t="s">
        <v>46</v>
      </c>
      <c r="C22" s="1">
        <f>Доходы!C3</f>
        <v>0</v>
      </c>
      <c r="D22" s="1">
        <f>Доходы!D3</f>
        <v>0</v>
      </c>
      <c r="E22" s="1">
        <f>Доходы!E3</f>
        <v>0</v>
      </c>
      <c r="F22" s="1">
        <f>Доходы!F3</f>
        <v>0</v>
      </c>
      <c r="G22" s="1">
        <f>Доходы!G3</f>
        <v>0</v>
      </c>
      <c r="H22" s="1">
        <f>Доходы!H3</f>
        <v>0</v>
      </c>
      <c r="I22" s="1">
        <f>Доходы!I3</f>
        <v>0</v>
      </c>
      <c r="J22" s="1">
        <f>Доходы!J3</f>
        <v>0</v>
      </c>
      <c r="K22" s="1">
        <f>Доходы!K3</f>
        <v>0</v>
      </c>
      <c r="L22" s="1">
        <f>Доходы!L3</f>
        <v>0</v>
      </c>
      <c r="M22" s="1">
        <f>Доходы!M3</f>
        <v>0</v>
      </c>
      <c r="N22" s="1">
        <f>Доходы!N3</f>
        <v>0</v>
      </c>
      <c r="O22" s="1">
        <f>Доходы!O3</f>
        <v>10</v>
      </c>
      <c r="P22" s="1">
        <f>Доходы!P3</f>
        <v>15</v>
      </c>
      <c r="Q22" s="1">
        <f>Доходы!Q3</f>
        <v>30</v>
      </c>
      <c r="R22" s="1">
        <f>Доходы!R3</f>
        <v>30</v>
      </c>
      <c r="S22" s="1">
        <f>Доходы!S3</f>
        <v>30</v>
      </c>
      <c r="T22" s="1">
        <f>Доходы!T3</f>
        <v>30</v>
      </c>
      <c r="U22" s="1">
        <f>Доходы!U3</f>
        <v>30</v>
      </c>
      <c r="V22" s="1">
        <f>Доходы!V3</f>
        <v>30</v>
      </c>
      <c r="W22" s="1">
        <f>Доходы!W3</f>
        <v>30</v>
      </c>
      <c r="X22" s="1">
        <f>Доходы!X3</f>
        <v>30</v>
      </c>
      <c r="Y22" s="1">
        <f>Доходы!Y3</f>
        <v>35</v>
      </c>
      <c r="Z22" s="1">
        <f>Доходы!Z3</f>
        <v>35</v>
      </c>
      <c r="AA22" s="1">
        <f>Доходы!AA3</f>
        <v>50</v>
      </c>
      <c r="AB22" s="1">
        <f>Доходы!AB3</f>
        <v>40</v>
      </c>
      <c r="AC22" s="1">
        <f>Доходы!AC3</f>
        <v>40</v>
      </c>
      <c r="AD22" s="1">
        <f>Доходы!AD3</f>
        <v>40</v>
      </c>
      <c r="AE22" s="1">
        <f>Доходы!AE3</f>
        <v>40</v>
      </c>
      <c r="AF22" s="1">
        <f>Доходы!AF3</f>
        <v>40</v>
      </c>
      <c r="AG22" s="1">
        <f>Доходы!AG3</f>
        <v>40</v>
      </c>
      <c r="AH22" s="1">
        <f>Доходы!AH3</f>
        <v>40</v>
      </c>
      <c r="AI22" s="1">
        <f>Доходы!AI3</f>
        <v>40</v>
      </c>
      <c r="AJ22" s="1">
        <f>Доходы!AJ3</f>
        <v>40</v>
      </c>
      <c r="AK22" s="1">
        <f>Доходы!AK3</f>
        <v>50</v>
      </c>
      <c r="AL22" s="1">
        <f>Доходы!AL3</f>
        <v>50</v>
      </c>
    </row>
    <row r="23" spans="1:38">
      <c r="A23" s="1" t="s">
        <v>74</v>
      </c>
      <c r="B23" s="1" t="s">
        <v>75</v>
      </c>
      <c r="C23" s="1">
        <f t="shared" ref="C23:AL23" si="2">C22*C8</f>
        <v>0</v>
      </c>
      <c r="D23" s="1">
        <f t="shared" si="2"/>
        <v>0</v>
      </c>
      <c r="E23" s="1">
        <f t="shared" si="2"/>
        <v>0</v>
      </c>
      <c r="F23" s="1">
        <f t="shared" si="2"/>
        <v>0</v>
      </c>
      <c r="G23" s="1">
        <f t="shared" si="2"/>
        <v>0</v>
      </c>
      <c r="H23" s="1">
        <f t="shared" si="2"/>
        <v>0</v>
      </c>
      <c r="I23" s="1">
        <f t="shared" si="2"/>
        <v>0</v>
      </c>
      <c r="J23" s="1">
        <f t="shared" si="2"/>
        <v>0</v>
      </c>
      <c r="K23" s="1">
        <f t="shared" si="2"/>
        <v>0</v>
      </c>
      <c r="L23" s="1">
        <f t="shared" si="2"/>
        <v>0</v>
      </c>
      <c r="M23" s="1">
        <f t="shared" si="2"/>
        <v>0</v>
      </c>
      <c r="N23" s="1">
        <f t="shared" si="2"/>
        <v>0</v>
      </c>
      <c r="O23" s="1">
        <f t="shared" si="2"/>
        <v>100000</v>
      </c>
      <c r="P23" s="1">
        <f t="shared" si="2"/>
        <v>150000</v>
      </c>
      <c r="Q23" s="1">
        <f t="shared" si="2"/>
        <v>300000</v>
      </c>
      <c r="R23" s="1">
        <f t="shared" si="2"/>
        <v>300000</v>
      </c>
      <c r="S23" s="1">
        <f t="shared" si="2"/>
        <v>300000</v>
      </c>
      <c r="T23" s="1">
        <f t="shared" si="2"/>
        <v>300000</v>
      </c>
      <c r="U23" s="1">
        <f t="shared" si="2"/>
        <v>300000</v>
      </c>
      <c r="V23" s="1">
        <f t="shared" si="2"/>
        <v>300000</v>
      </c>
      <c r="W23" s="1">
        <f t="shared" si="2"/>
        <v>300000</v>
      </c>
      <c r="X23" s="1">
        <f t="shared" si="2"/>
        <v>300000</v>
      </c>
      <c r="Y23" s="1">
        <f t="shared" si="2"/>
        <v>350000</v>
      </c>
      <c r="Z23" s="1">
        <f t="shared" si="2"/>
        <v>350000</v>
      </c>
      <c r="AA23" s="1">
        <f t="shared" si="2"/>
        <v>500000</v>
      </c>
      <c r="AB23" s="1">
        <f t="shared" si="2"/>
        <v>400000</v>
      </c>
      <c r="AC23" s="1">
        <f t="shared" si="2"/>
        <v>400000</v>
      </c>
      <c r="AD23" s="1">
        <f t="shared" si="2"/>
        <v>400000</v>
      </c>
      <c r="AE23" s="1">
        <f t="shared" si="2"/>
        <v>400000</v>
      </c>
      <c r="AF23" s="1">
        <f t="shared" si="2"/>
        <v>400000</v>
      </c>
      <c r="AG23" s="1">
        <f t="shared" si="2"/>
        <v>400000</v>
      </c>
      <c r="AH23" s="1">
        <f t="shared" si="2"/>
        <v>400000</v>
      </c>
      <c r="AI23" s="1">
        <f t="shared" si="2"/>
        <v>400000</v>
      </c>
      <c r="AJ23" s="1">
        <f t="shared" si="2"/>
        <v>400000</v>
      </c>
      <c r="AK23" s="1">
        <f t="shared" si="2"/>
        <v>500000</v>
      </c>
      <c r="AL23" s="1">
        <f t="shared" si="2"/>
        <v>500000</v>
      </c>
    </row>
    <row r="24" spans="1:38">
      <c r="A24" s="1" t="s">
        <v>76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>
      <c r="A25" s="1" t="s">
        <v>45</v>
      </c>
      <c r="B25" s="1" t="s">
        <v>46</v>
      </c>
      <c r="C25" s="1">
        <f>Доходы!C7</f>
        <v>0</v>
      </c>
      <c r="D25" s="1">
        <f>Доходы!D7</f>
        <v>0</v>
      </c>
      <c r="E25" s="1">
        <f>Доходы!E7</f>
        <v>0</v>
      </c>
      <c r="F25" s="1">
        <f>Доходы!F7</f>
        <v>0</v>
      </c>
      <c r="G25" s="1">
        <f>Доходы!G7</f>
        <v>0</v>
      </c>
      <c r="H25" s="1">
        <f>Доходы!H7</f>
        <v>0</v>
      </c>
      <c r="I25" s="1">
        <f>Доходы!I7</f>
        <v>0</v>
      </c>
      <c r="J25" s="1">
        <f>Доходы!J7</f>
        <v>0</v>
      </c>
      <c r="K25" s="1">
        <f>Доходы!K7</f>
        <v>0</v>
      </c>
      <c r="L25" s="1">
        <f>Доходы!L7</f>
        <v>0</v>
      </c>
      <c r="M25" s="1">
        <f>Доходы!M7</f>
        <v>0</v>
      </c>
      <c r="N25" s="1">
        <f>Доходы!N7</f>
        <v>0</v>
      </c>
      <c r="O25" s="1">
        <f>Доходы!O7</f>
        <v>3.0000000000000004</v>
      </c>
      <c r="P25" s="1">
        <f>Доходы!P7</f>
        <v>5</v>
      </c>
      <c r="Q25" s="1">
        <f>Доходы!Q7</f>
        <v>10</v>
      </c>
      <c r="R25" s="1">
        <f>Доходы!R7</f>
        <v>10</v>
      </c>
      <c r="S25" s="1">
        <f>Доходы!S7</f>
        <v>10</v>
      </c>
      <c r="T25" s="1">
        <f>Доходы!T7</f>
        <v>10</v>
      </c>
      <c r="U25" s="1">
        <f>Доходы!U7</f>
        <v>10</v>
      </c>
      <c r="V25" s="1">
        <f>Доходы!V7</f>
        <v>10</v>
      </c>
      <c r="W25" s="1">
        <f>Доходы!W7</f>
        <v>10</v>
      </c>
      <c r="X25" s="1">
        <f>Доходы!X7</f>
        <v>10</v>
      </c>
      <c r="Y25" s="1">
        <f>Доходы!Y7</f>
        <v>15</v>
      </c>
      <c r="Z25" s="1">
        <f>Доходы!Z7</f>
        <v>15</v>
      </c>
      <c r="AA25" s="1">
        <f>Доходы!AA7</f>
        <v>18.000000000000004</v>
      </c>
      <c r="AB25" s="1">
        <f>Доходы!AB7</f>
        <v>18.000000000000004</v>
      </c>
      <c r="AC25" s="1">
        <f>Доходы!AC7</f>
        <v>18.000000000000004</v>
      </c>
      <c r="AD25" s="1">
        <f>Доходы!AD7</f>
        <v>18.000000000000004</v>
      </c>
      <c r="AE25" s="1">
        <f>Доходы!AE7</f>
        <v>18.000000000000004</v>
      </c>
      <c r="AF25" s="1">
        <f>Доходы!AF7</f>
        <v>18.000000000000004</v>
      </c>
      <c r="AG25" s="1">
        <f>Доходы!AG7</f>
        <v>18.000000000000004</v>
      </c>
      <c r="AH25" s="1">
        <f>Доходы!AH7</f>
        <v>18.000000000000004</v>
      </c>
      <c r="AI25" s="1">
        <f>Доходы!AI7</f>
        <v>18.000000000000004</v>
      </c>
      <c r="AJ25" s="1">
        <f>Доходы!AJ7</f>
        <v>18.000000000000004</v>
      </c>
      <c r="AK25" s="1">
        <f>Доходы!AK7</f>
        <v>20</v>
      </c>
      <c r="AL25" s="1">
        <f>Доходы!AL7</f>
        <v>20</v>
      </c>
    </row>
    <row r="26" spans="1:38">
      <c r="A26" s="1" t="s">
        <v>74</v>
      </c>
      <c r="B26" s="1" t="s">
        <v>75</v>
      </c>
      <c r="C26" s="1">
        <f t="shared" ref="C26:AL26" si="3">C25*C15</f>
        <v>0</v>
      </c>
      <c r="D26" s="1">
        <f t="shared" si="3"/>
        <v>0</v>
      </c>
      <c r="E26" s="1">
        <f t="shared" si="3"/>
        <v>0</v>
      </c>
      <c r="F26" s="1">
        <f t="shared" si="3"/>
        <v>0</v>
      </c>
      <c r="G26" s="1">
        <f t="shared" si="3"/>
        <v>0</v>
      </c>
      <c r="H26" s="1">
        <f t="shared" si="3"/>
        <v>0</v>
      </c>
      <c r="I26" s="1">
        <f t="shared" si="3"/>
        <v>0</v>
      </c>
      <c r="J26" s="1">
        <f t="shared" si="3"/>
        <v>0</v>
      </c>
      <c r="K26" s="1">
        <f t="shared" si="3"/>
        <v>0</v>
      </c>
      <c r="L26" s="1">
        <f t="shared" si="3"/>
        <v>0</v>
      </c>
      <c r="M26" s="1">
        <f t="shared" si="3"/>
        <v>0</v>
      </c>
      <c r="N26" s="1">
        <f t="shared" si="3"/>
        <v>0</v>
      </c>
      <c r="O26" s="1">
        <f t="shared" si="3"/>
        <v>120000.00000000001</v>
      </c>
      <c r="P26" s="1">
        <f t="shared" si="3"/>
        <v>200000</v>
      </c>
      <c r="Q26" s="1">
        <f t="shared" si="3"/>
        <v>400000</v>
      </c>
      <c r="R26" s="1">
        <f t="shared" si="3"/>
        <v>400000</v>
      </c>
      <c r="S26" s="1">
        <f t="shared" si="3"/>
        <v>400000</v>
      </c>
      <c r="T26" s="1">
        <f t="shared" si="3"/>
        <v>400000</v>
      </c>
      <c r="U26" s="1">
        <f t="shared" si="3"/>
        <v>400000</v>
      </c>
      <c r="V26" s="1">
        <f t="shared" si="3"/>
        <v>400000</v>
      </c>
      <c r="W26" s="1">
        <f t="shared" si="3"/>
        <v>400000</v>
      </c>
      <c r="X26" s="1">
        <f t="shared" si="3"/>
        <v>400000</v>
      </c>
      <c r="Y26" s="1">
        <f t="shared" si="3"/>
        <v>600000</v>
      </c>
      <c r="Z26" s="1">
        <f t="shared" si="3"/>
        <v>600000</v>
      </c>
      <c r="AA26" s="1">
        <f t="shared" si="3"/>
        <v>720000.00000000012</v>
      </c>
      <c r="AB26" s="1">
        <f t="shared" si="3"/>
        <v>720000.00000000012</v>
      </c>
      <c r="AC26" s="1">
        <f t="shared" si="3"/>
        <v>720000.00000000012</v>
      </c>
      <c r="AD26" s="1">
        <f t="shared" si="3"/>
        <v>720000.00000000012</v>
      </c>
      <c r="AE26" s="1">
        <f t="shared" si="3"/>
        <v>720000.00000000012</v>
      </c>
      <c r="AF26" s="1">
        <f t="shared" si="3"/>
        <v>720000.00000000012</v>
      </c>
      <c r="AG26" s="1">
        <f t="shared" si="3"/>
        <v>720000.00000000012</v>
      </c>
      <c r="AH26" s="1">
        <f t="shared" si="3"/>
        <v>720000.00000000012</v>
      </c>
      <c r="AI26" s="1">
        <f t="shared" si="3"/>
        <v>720000.00000000012</v>
      </c>
      <c r="AJ26" s="1">
        <f t="shared" si="3"/>
        <v>720000.00000000012</v>
      </c>
      <c r="AK26" s="1">
        <f t="shared" si="3"/>
        <v>800000</v>
      </c>
      <c r="AL26" s="1">
        <f t="shared" si="3"/>
        <v>800000</v>
      </c>
    </row>
    <row r="27" spans="1:38">
      <c r="A27" s="1" t="s">
        <v>77</v>
      </c>
      <c r="B27" s="1" t="s">
        <v>78</v>
      </c>
      <c r="C27" s="1">
        <f t="shared" ref="C27:AL27" si="4">C26+C23</f>
        <v>0</v>
      </c>
      <c r="D27" s="1">
        <f t="shared" si="4"/>
        <v>0</v>
      </c>
      <c r="E27" s="1">
        <f t="shared" si="4"/>
        <v>0</v>
      </c>
      <c r="F27" s="1">
        <f t="shared" si="4"/>
        <v>0</v>
      </c>
      <c r="G27" s="1">
        <f t="shared" si="4"/>
        <v>0</v>
      </c>
      <c r="H27" s="1">
        <f t="shared" si="4"/>
        <v>0</v>
      </c>
      <c r="I27" s="1">
        <f t="shared" si="4"/>
        <v>0</v>
      </c>
      <c r="J27" s="1">
        <f t="shared" si="4"/>
        <v>0</v>
      </c>
      <c r="K27" s="1">
        <f t="shared" si="4"/>
        <v>0</v>
      </c>
      <c r="L27" s="1">
        <f t="shared" si="4"/>
        <v>0</v>
      </c>
      <c r="M27" s="1">
        <f t="shared" si="4"/>
        <v>0</v>
      </c>
      <c r="N27" s="1">
        <f t="shared" si="4"/>
        <v>0</v>
      </c>
      <c r="O27" s="1">
        <f t="shared" si="4"/>
        <v>220000</v>
      </c>
      <c r="P27" s="1">
        <f t="shared" si="4"/>
        <v>350000</v>
      </c>
      <c r="Q27" s="1">
        <f t="shared" si="4"/>
        <v>700000</v>
      </c>
      <c r="R27" s="1">
        <f t="shared" si="4"/>
        <v>700000</v>
      </c>
      <c r="S27" s="1">
        <f t="shared" si="4"/>
        <v>700000</v>
      </c>
      <c r="T27" s="1">
        <f t="shared" si="4"/>
        <v>700000</v>
      </c>
      <c r="U27" s="1">
        <f t="shared" si="4"/>
        <v>700000</v>
      </c>
      <c r="V27" s="1">
        <f t="shared" si="4"/>
        <v>700000</v>
      </c>
      <c r="W27" s="1">
        <f t="shared" si="4"/>
        <v>700000</v>
      </c>
      <c r="X27" s="1">
        <f t="shared" si="4"/>
        <v>700000</v>
      </c>
      <c r="Y27" s="1">
        <f t="shared" si="4"/>
        <v>950000</v>
      </c>
      <c r="Z27" s="1">
        <f t="shared" si="4"/>
        <v>950000</v>
      </c>
      <c r="AA27" s="1">
        <f t="shared" si="4"/>
        <v>1220000</v>
      </c>
      <c r="AB27" s="1">
        <f t="shared" si="4"/>
        <v>1120000</v>
      </c>
      <c r="AC27" s="1">
        <f t="shared" si="4"/>
        <v>1120000</v>
      </c>
      <c r="AD27" s="1">
        <f t="shared" si="4"/>
        <v>1120000</v>
      </c>
      <c r="AE27" s="1">
        <f t="shared" si="4"/>
        <v>1120000</v>
      </c>
      <c r="AF27" s="1">
        <f t="shared" si="4"/>
        <v>1120000</v>
      </c>
      <c r="AG27" s="1">
        <f t="shared" si="4"/>
        <v>1120000</v>
      </c>
      <c r="AH27" s="1">
        <f t="shared" si="4"/>
        <v>1120000</v>
      </c>
      <c r="AI27" s="1">
        <f t="shared" si="4"/>
        <v>1120000</v>
      </c>
      <c r="AJ27" s="1">
        <f t="shared" si="4"/>
        <v>1120000</v>
      </c>
      <c r="AK27" s="1">
        <f t="shared" si="4"/>
        <v>1300000</v>
      </c>
      <c r="AL27" s="1">
        <f t="shared" si="4"/>
        <v>1300000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M21"/>
  <sheetViews>
    <sheetView workbookViewId="0"/>
  </sheetViews>
  <sheetFormatPr defaultColWidth="12.5703125" defaultRowHeight="15.75" customHeight="1"/>
  <cols>
    <col min="1" max="1" width="36.5703125" customWidth="1"/>
    <col min="2" max="2" width="35.42578125" customWidth="1"/>
    <col min="6" max="6" width="17.140625" customWidth="1"/>
  </cols>
  <sheetData>
    <row r="1" spans="1:39">
      <c r="A1" s="1" t="s">
        <v>79</v>
      </c>
      <c r="B1" s="1" t="s">
        <v>43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9">
      <c r="A2" s="1" t="s">
        <v>80</v>
      </c>
      <c r="B2" s="1" t="s">
        <v>48</v>
      </c>
      <c r="C2" s="1">
        <v>15000</v>
      </c>
      <c r="D2" s="1">
        <v>15000</v>
      </c>
      <c r="E2" s="1">
        <v>15000</v>
      </c>
      <c r="F2" s="1">
        <v>15000</v>
      </c>
      <c r="G2" s="1">
        <v>15000</v>
      </c>
      <c r="H2" s="1">
        <v>15000</v>
      </c>
      <c r="I2" s="1">
        <v>15000</v>
      </c>
      <c r="J2" s="1">
        <v>15000</v>
      </c>
      <c r="K2" s="1">
        <v>15000</v>
      </c>
      <c r="L2" s="1">
        <v>15000</v>
      </c>
      <c r="M2" s="1">
        <v>15000</v>
      </c>
      <c r="N2" s="1">
        <v>15000</v>
      </c>
      <c r="O2" s="1">
        <v>15000</v>
      </c>
      <c r="P2" s="1">
        <v>15000</v>
      </c>
      <c r="Q2" s="1">
        <v>15000</v>
      </c>
      <c r="R2" s="1">
        <v>15000</v>
      </c>
      <c r="S2" s="1">
        <v>15000</v>
      </c>
      <c r="T2" s="1">
        <v>15000</v>
      </c>
      <c r="U2" s="1">
        <v>15000</v>
      </c>
      <c r="V2" s="1">
        <v>15000</v>
      </c>
      <c r="W2" s="1">
        <v>15000</v>
      </c>
      <c r="X2" s="1">
        <v>15000</v>
      </c>
      <c r="Y2" s="1">
        <v>15000</v>
      </c>
      <c r="Z2" s="1">
        <v>15000</v>
      </c>
      <c r="AA2" s="1">
        <v>15000</v>
      </c>
      <c r="AB2" s="1">
        <v>15000</v>
      </c>
      <c r="AC2" s="1">
        <v>15000</v>
      </c>
      <c r="AD2" s="1">
        <v>15000</v>
      </c>
      <c r="AE2" s="1">
        <v>15000</v>
      </c>
      <c r="AF2" s="1">
        <v>15000</v>
      </c>
      <c r="AG2" s="1">
        <v>15000</v>
      </c>
      <c r="AH2" s="1">
        <v>15000</v>
      </c>
      <c r="AI2" s="1">
        <v>15000</v>
      </c>
      <c r="AJ2" s="1">
        <v>15000</v>
      </c>
      <c r="AK2" s="1">
        <v>15000</v>
      </c>
      <c r="AL2" s="1">
        <v>15000</v>
      </c>
      <c r="AM2" s="2"/>
    </row>
    <row r="3" spans="1:39">
      <c r="A3" s="1" t="s">
        <v>81</v>
      </c>
      <c r="B3" s="1" t="s">
        <v>48</v>
      </c>
      <c r="C3" s="1">
        <v>19230</v>
      </c>
      <c r="D3" s="1">
        <v>19230</v>
      </c>
      <c r="E3" s="1">
        <v>19230</v>
      </c>
      <c r="F3" s="1">
        <v>19230</v>
      </c>
      <c r="G3" s="1">
        <v>19230</v>
      </c>
      <c r="H3" s="1">
        <v>19230</v>
      </c>
      <c r="I3" s="1">
        <v>19230</v>
      </c>
      <c r="J3" s="1">
        <v>19230</v>
      </c>
      <c r="K3" s="1">
        <v>19230</v>
      </c>
      <c r="L3" s="1">
        <v>19230</v>
      </c>
      <c r="M3" s="1">
        <v>19230</v>
      </c>
      <c r="N3" s="1">
        <v>19230</v>
      </c>
      <c r="O3" s="1">
        <v>70000</v>
      </c>
      <c r="P3" s="1">
        <v>70000</v>
      </c>
      <c r="Q3" s="1">
        <v>70000</v>
      </c>
      <c r="R3" s="1">
        <v>70000</v>
      </c>
      <c r="S3" s="1">
        <v>70000</v>
      </c>
      <c r="T3" s="1">
        <v>70000</v>
      </c>
      <c r="U3" s="1">
        <v>70000</v>
      </c>
      <c r="V3" s="1">
        <v>70000</v>
      </c>
      <c r="W3" s="1">
        <v>70000</v>
      </c>
      <c r="X3" s="1">
        <v>70000</v>
      </c>
      <c r="Y3" s="1">
        <v>70000</v>
      </c>
      <c r="Z3" s="1">
        <v>70000</v>
      </c>
      <c r="AA3" s="1">
        <v>70000</v>
      </c>
      <c r="AB3" s="1">
        <v>70000</v>
      </c>
      <c r="AC3" s="1">
        <v>70000</v>
      </c>
      <c r="AD3" s="1">
        <v>70000</v>
      </c>
      <c r="AE3" s="1">
        <v>70000</v>
      </c>
      <c r="AF3" s="1">
        <v>70000</v>
      </c>
      <c r="AG3" s="1">
        <v>70000</v>
      </c>
      <c r="AH3" s="1">
        <v>70000</v>
      </c>
      <c r="AI3" s="1">
        <v>70000</v>
      </c>
      <c r="AJ3" s="1">
        <v>70000</v>
      </c>
      <c r="AK3" s="1">
        <v>70000</v>
      </c>
      <c r="AL3" s="1">
        <v>70000</v>
      </c>
      <c r="AM3" s="2"/>
    </row>
    <row r="4" spans="1:39">
      <c r="A4" s="1" t="s">
        <v>82</v>
      </c>
      <c r="B4" s="1" t="s">
        <v>48</v>
      </c>
      <c r="C4" s="1">
        <v>15000</v>
      </c>
      <c r="D4" s="1">
        <v>15000</v>
      </c>
      <c r="E4" s="1">
        <v>15000</v>
      </c>
      <c r="F4" s="1">
        <v>15000</v>
      </c>
      <c r="G4" s="1">
        <v>15000</v>
      </c>
      <c r="H4" s="1">
        <v>15000</v>
      </c>
      <c r="I4" s="1">
        <v>15000</v>
      </c>
      <c r="J4" s="1">
        <v>15000</v>
      </c>
      <c r="K4" s="1">
        <v>15000</v>
      </c>
      <c r="L4" s="1">
        <v>15000</v>
      </c>
      <c r="M4" s="1">
        <v>15000</v>
      </c>
      <c r="N4" s="1">
        <v>15000</v>
      </c>
      <c r="O4" s="1">
        <v>15000</v>
      </c>
      <c r="P4" s="1">
        <v>15000</v>
      </c>
      <c r="Q4" s="1">
        <v>15000</v>
      </c>
      <c r="R4" s="1">
        <v>15000</v>
      </c>
      <c r="S4" s="1">
        <v>15000</v>
      </c>
      <c r="T4" s="1">
        <v>15000</v>
      </c>
      <c r="U4" s="1">
        <v>15000</v>
      </c>
      <c r="V4" s="1">
        <v>15000</v>
      </c>
      <c r="W4" s="1">
        <v>15000</v>
      </c>
      <c r="X4" s="1">
        <v>15000</v>
      </c>
      <c r="Y4" s="1">
        <v>15000</v>
      </c>
      <c r="Z4" s="1">
        <v>15000</v>
      </c>
      <c r="AA4" s="1">
        <v>15000</v>
      </c>
      <c r="AB4" s="1">
        <v>15000</v>
      </c>
      <c r="AC4" s="1">
        <v>15000</v>
      </c>
      <c r="AD4" s="1">
        <v>15000</v>
      </c>
      <c r="AE4" s="1">
        <v>15000</v>
      </c>
      <c r="AF4" s="1">
        <v>15000</v>
      </c>
      <c r="AG4" s="1">
        <v>15000</v>
      </c>
      <c r="AH4" s="1">
        <v>15000</v>
      </c>
      <c r="AI4" s="1">
        <v>15000</v>
      </c>
      <c r="AJ4" s="1">
        <v>15000</v>
      </c>
      <c r="AK4" s="1">
        <v>15000</v>
      </c>
      <c r="AL4" s="1">
        <v>15000</v>
      </c>
      <c r="AM4" s="2"/>
    </row>
    <row r="5" spans="1:39">
      <c r="A5" s="1" t="s">
        <v>83</v>
      </c>
      <c r="B5" s="1" t="s">
        <v>84</v>
      </c>
      <c r="C5" s="1">
        <f t="shared" ref="C5:AL5" si="0">SUM(C2:C4)</f>
        <v>49230</v>
      </c>
      <c r="D5" s="1">
        <f t="shared" si="0"/>
        <v>49230</v>
      </c>
      <c r="E5" s="1">
        <f t="shared" si="0"/>
        <v>49230</v>
      </c>
      <c r="F5" s="1">
        <f t="shared" si="0"/>
        <v>49230</v>
      </c>
      <c r="G5" s="1">
        <f t="shared" si="0"/>
        <v>49230</v>
      </c>
      <c r="H5" s="1">
        <f t="shared" si="0"/>
        <v>49230</v>
      </c>
      <c r="I5" s="1">
        <f t="shared" si="0"/>
        <v>49230</v>
      </c>
      <c r="J5" s="1">
        <f t="shared" si="0"/>
        <v>49230</v>
      </c>
      <c r="K5" s="1">
        <f t="shared" si="0"/>
        <v>49230</v>
      </c>
      <c r="L5" s="1">
        <f t="shared" si="0"/>
        <v>49230</v>
      </c>
      <c r="M5" s="1">
        <f t="shared" si="0"/>
        <v>49230</v>
      </c>
      <c r="N5" s="1">
        <f t="shared" si="0"/>
        <v>49230</v>
      </c>
      <c r="O5" s="1">
        <f t="shared" si="0"/>
        <v>100000</v>
      </c>
      <c r="P5" s="1">
        <f t="shared" si="0"/>
        <v>100000</v>
      </c>
      <c r="Q5" s="1">
        <f t="shared" si="0"/>
        <v>100000</v>
      </c>
      <c r="R5" s="1">
        <f t="shared" si="0"/>
        <v>100000</v>
      </c>
      <c r="S5" s="1">
        <f t="shared" si="0"/>
        <v>100000</v>
      </c>
      <c r="T5" s="1">
        <f t="shared" si="0"/>
        <v>100000</v>
      </c>
      <c r="U5" s="1">
        <f t="shared" si="0"/>
        <v>100000</v>
      </c>
      <c r="V5" s="1">
        <f t="shared" si="0"/>
        <v>100000</v>
      </c>
      <c r="W5" s="1">
        <f t="shared" si="0"/>
        <v>100000</v>
      </c>
      <c r="X5" s="1">
        <f t="shared" si="0"/>
        <v>100000</v>
      </c>
      <c r="Y5" s="1">
        <f t="shared" si="0"/>
        <v>100000</v>
      </c>
      <c r="Z5" s="1">
        <f t="shared" si="0"/>
        <v>100000</v>
      </c>
      <c r="AA5" s="1">
        <f t="shared" si="0"/>
        <v>100000</v>
      </c>
      <c r="AB5" s="1">
        <f t="shared" si="0"/>
        <v>100000</v>
      </c>
      <c r="AC5" s="1">
        <f t="shared" si="0"/>
        <v>100000</v>
      </c>
      <c r="AD5" s="1">
        <f t="shared" si="0"/>
        <v>100000</v>
      </c>
      <c r="AE5" s="1">
        <f t="shared" si="0"/>
        <v>100000</v>
      </c>
      <c r="AF5" s="1">
        <f t="shared" si="0"/>
        <v>100000</v>
      </c>
      <c r="AG5" s="1">
        <f t="shared" si="0"/>
        <v>100000</v>
      </c>
      <c r="AH5" s="1">
        <f t="shared" si="0"/>
        <v>100000</v>
      </c>
      <c r="AI5" s="1">
        <f t="shared" si="0"/>
        <v>100000</v>
      </c>
      <c r="AJ5" s="1">
        <f t="shared" si="0"/>
        <v>100000</v>
      </c>
      <c r="AK5" s="1">
        <f t="shared" si="0"/>
        <v>100000</v>
      </c>
      <c r="AL5" s="1">
        <f t="shared" si="0"/>
        <v>100000</v>
      </c>
      <c r="AM5" s="2"/>
    </row>
    <row r="6" spans="1:39">
      <c r="A6" s="1" t="s">
        <v>85</v>
      </c>
      <c r="B6" s="1" t="s">
        <v>86</v>
      </c>
      <c r="C6" s="1">
        <f t="shared" ref="C6:AL6" si="1">C5*30%</f>
        <v>14769</v>
      </c>
      <c r="D6" s="1">
        <f t="shared" si="1"/>
        <v>14769</v>
      </c>
      <c r="E6" s="1">
        <f t="shared" si="1"/>
        <v>14769</v>
      </c>
      <c r="F6" s="1">
        <f t="shared" si="1"/>
        <v>14769</v>
      </c>
      <c r="G6" s="1">
        <f t="shared" si="1"/>
        <v>14769</v>
      </c>
      <c r="H6" s="1">
        <f t="shared" si="1"/>
        <v>14769</v>
      </c>
      <c r="I6" s="1">
        <f t="shared" si="1"/>
        <v>14769</v>
      </c>
      <c r="J6" s="1">
        <f t="shared" si="1"/>
        <v>14769</v>
      </c>
      <c r="K6" s="1">
        <f t="shared" si="1"/>
        <v>14769</v>
      </c>
      <c r="L6" s="1">
        <f t="shared" si="1"/>
        <v>14769</v>
      </c>
      <c r="M6" s="1">
        <f t="shared" si="1"/>
        <v>14769</v>
      </c>
      <c r="N6" s="1">
        <f t="shared" si="1"/>
        <v>14769</v>
      </c>
      <c r="O6" s="1">
        <f t="shared" si="1"/>
        <v>30000</v>
      </c>
      <c r="P6" s="1">
        <f t="shared" si="1"/>
        <v>30000</v>
      </c>
      <c r="Q6" s="1">
        <f t="shared" si="1"/>
        <v>30000</v>
      </c>
      <c r="R6" s="1">
        <f t="shared" si="1"/>
        <v>30000</v>
      </c>
      <c r="S6" s="1">
        <f t="shared" si="1"/>
        <v>30000</v>
      </c>
      <c r="T6" s="1">
        <f t="shared" si="1"/>
        <v>30000</v>
      </c>
      <c r="U6" s="1">
        <f t="shared" si="1"/>
        <v>30000</v>
      </c>
      <c r="V6" s="1">
        <f t="shared" si="1"/>
        <v>30000</v>
      </c>
      <c r="W6" s="1">
        <f t="shared" si="1"/>
        <v>30000</v>
      </c>
      <c r="X6" s="1">
        <f t="shared" si="1"/>
        <v>30000</v>
      </c>
      <c r="Y6" s="1">
        <f t="shared" si="1"/>
        <v>30000</v>
      </c>
      <c r="Z6" s="1">
        <f t="shared" si="1"/>
        <v>30000</v>
      </c>
      <c r="AA6" s="1">
        <f t="shared" si="1"/>
        <v>30000</v>
      </c>
      <c r="AB6" s="1">
        <f t="shared" si="1"/>
        <v>30000</v>
      </c>
      <c r="AC6" s="1">
        <f t="shared" si="1"/>
        <v>30000</v>
      </c>
      <c r="AD6" s="1">
        <f t="shared" si="1"/>
        <v>30000</v>
      </c>
      <c r="AE6" s="1">
        <f t="shared" si="1"/>
        <v>30000</v>
      </c>
      <c r="AF6" s="1">
        <f t="shared" si="1"/>
        <v>30000</v>
      </c>
      <c r="AG6" s="1">
        <f t="shared" si="1"/>
        <v>30000</v>
      </c>
      <c r="AH6" s="1">
        <f t="shared" si="1"/>
        <v>30000</v>
      </c>
      <c r="AI6" s="1">
        <f t="shared" si="1"/>
        <v>30000</v>
      </c>
      <c r="AJ6" s="1">
        <f t="shared" si="1"/>
        <v>30000</v>
      </c>
      <c r="AK6" s="1">
        <f t="shared" si="1"/>
        <v>30000</v>
      </c>
      <c r="AL6" s="1">
        <f t="shared" si="1"/>
        <v>30000</v>
      </c>
      <c r="AM6" s="2"/>
    </row>
    <row r="7" spans="1:39">
      <c r="A7" s="2"/>
    </row>
    <row r="8" spans="1:39">
      <c r="A8" s="2"/>
    </row>
    <row r="13" spans="1:39">
      <c r="A13" s="2"/>
      <c r="B13" s="2"/>
      <c r="C13" s="2"/>
      <c r="D13" s="2"/>
      <c r="H13" s="2"/>
      <c r="I13" s="2"/>
    </row>
    <row r="14" spans="1:39">
      <c r="F14" s="2"/>
      <c r="G14" s="2"/>
      <c r="H14" s="2"/>
      <c r="I14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N32"/>
  <sheetViews>
    <sheetView workbookViewId="0">
      <selection activeCell="O8" sqref="O8"/>
    </sheetView>
  </sheetViews>
  <sheetFormatPr defaultColWidth="12.5703125" defaultRowHeight="15.75" customHeight="1"/>
  <cols>
    <col min="1" max="1" width="45.7109375" customWidth="1"/>
    <col min="2" max="2" width="37.7109375" customWidth="1"/>
    <col min="3" max="3" width="19" customWidth="1"/>
    <col min="4" max="4" width="24.28515625" customWidth="1"/>
  </cols>
  <sheetData>
    <row r="1" spans="1:40" ht="15.75" customHeight="1">
      <c r="A1" s="3" t="s">
        <v>42</v>
      </c>
      <c r="B1" s="3" t="s">
        <v>87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4"/>
      <c r="AN1" s="4"/>
    </row>
    <row r="2" spans="1:40" ht="14.25">
      <c r="A2" s="5" t="s">
        <v>88</v>
      </c>
      <c r="B2" s="6" t="s">
        <v>89</v>
      </c>
      <c r="C2" s="6">
        <f>Доходы!C10</f>
        <v>0</v>
      </c>
      <c r="D2" s="6">
        <f>Доходы!D10</f>
        <v>0</v>
      </c>
      <c r="E2" s="6">
        <f>Доходы!E10</f>
        <v>0</v>
      </c>
      <c r="F2" s="6">
        <f>Доходы!F10</f>
        <v>0</v>
      </c>
      <c r="G2" s="6">
        <f>Доходы!G10</f>
        <v>0</v>
      </c>
      <c r="H2" s="6">
        <f>Доходы!H10</f>
        <v>0</v>
      </c>
      <c r="I2" s="6">
        <f>Доходы!I10</f>
        <v>0</v>
      </c>
      <c r="J2" s="6">
        <f>Доходы!J10</f>
        <v>0</v>
      </c>
      <c r="K2" s="6">
        <f>Доходы!K10</f>
        <v>0</v>
      </c>
      <c r="L2" s="6">
        <f>Доходы!L10</f>
        <v>0</v>
      </c>
      <c r="M2" s="6">
        <f>Доходы!M10</f>
        <v>0</v>
      </c>
      <c r="N2" s="6">
        <f>Доходы!N10</f>
        <v>0</v>
      </c>
      <c r="O2" s="6">
        <f>Доходы!O10</f>
        <v>380000</v>
      </c>
      <c r="P2" s="6">
        <f>Доходы!P10</f>
        <v>600000</v>
      </c>
      <c r="Q2" s="6">
        <f>Доходы!Q10</f>
        <v>1200000</v>
      </c>
      <c r="R2" s="6">
        <f>Доходы!R10</f>
        <v>1200000</v>
      </c>
      <c r="S2" s="6">
        <f>Доходы!S10</f>
        <v>1200000</v>
      </c>
      <c r="T2" s="6">
        <f>Доходы!T10</f>
        <v>1200000</v>
      </c>
      <c r="U2" s="6">
        <f>Доходы!U10</f>
        <v>1200000</v>
      </c>
      <c r="V2" s="6">
        <f>Доходы!V10</f>
        <v>1200000</v>
      </c>
      <c r="W2" s="6">
        <f>Доходы!W10</f>
        <v>1200000</v>
      </c>
      <c r="X2" s="6">
        <f>Доходы!X10</f>
        <v>1200000</v>
      </c>
      <c r="Y2" s="6">
        <f>Доходы!Y10</f>
        <v>1600000</v>
      </c>
      <c r="Z2" s="6">
        <f>Доходы!Z10</f>
        <v>1600000</v>
      </c>
      <c r="AA2" s="6">
        <f>Доходы!AA10</f>
        <v>2080000.0000000002</v>
      </c>
      <c r="AB2" s="6">
        <f>Доходы!AB10</f>
        <v>1880000.0000000002</v>
      </c>
      <c r="AC2" s="6">
        <f>Доходы!AC10</f>
        <v>1880000.0000000002</v>
      </c>
      <c r="AD2" s="6">
        <f>Доходы!AD10</f>
        <v>1880000.0000000002</v>
      </c>
      <c r="AE2" s="6">
        <f>Доходы!AE10</f>
        <v>1880000.0000000002</v>
      </c>
      <c r="AF2" s="6">
        <f>Доходы!AF10</f>
        <v>1880000.0000000002</v>
      </c>
      <c r="AG2" s="6">
        <f>Доходы!AG10</f>
        <v>1880000.0000000002</v>
      </c>
      <c r="AH2" s="6">
        <f>Доходы!AH10</f>
        <v>1880000.0000000002</v>
      </c>
      <c r="AI2" s="6">
        <f>Доходы!AI10</f>
        <v>1880000.0000000002</v>
      </c>
      <c r="AJ2" s="6">
        <f>Доходы!AJ10</f>
        <v>1880000.0000000002</v>
      </c>
      <c r="AK2" s="6">
        <f>Доходы!AK10</f>
        <v>2200000</v>
      </c>
      <c r="AL2" s="6">
        <f>Доходы!AL10</f>
        <v>2200000</v>
      </c>
      <c r="AM2" s="7"/>
      <c r="AN2" s="7"/>
    </row>
    <row r="3" spans="1:40" ht="28.5">
      <c r="A3" s="8" t="s">
        <v>90</v>
      </c>
      <c r="B3" s="8" t="s">
        <v>91</v>
      </c>
      <c r="C3" s="8">
        <f>Расходы!C27</f>
        <v>0</v>
      </c>
      <c r="D3" s="8">
        <f>Расходы!D27</f>
        <v>0</v>
      </c>
      <c r="E3" s="8">
        <f>Расходы!E27</f>
        <v>0</v>
      </c>
      <c r="F3" s="8">
        <f>Расходы!F27</f>
        <v>0</v>
      </c>
      <c r="G3" s="8">
        <f>Расходы!G27</f>
        <v>0</v>
      </c>
      <c r="H3" s="8">
        <f>Расходы!H27</f>
        <v>0</v>
      </c>
      <c r="I3" s="8">
        <f>Расходы!I27</f>
        <v>0</v>
      </c>
      <c r="J3" s="8">
        <f>Расходы!J27</f>
        <v>0</v>
      </c>
      <c r="K3" s="8">
        <f>Расходы!K27</f>
        <v>0</v>
      </c>
      <c r="L3" s="8">
        <f>Расходы!L27</f>
        <v>0</v>
      </c>
      <c r="M3" s="8">
        <f>Расходы!M27</f>
        <v>0</v>
      </c>
      <c r="N3" s="8">
        <f>Расходы!N27</f>
        <v>0</v>
      </c>
      <c r="O3" s="8">
        <f>Расходы!O27</f>
        <v>220000</v>
      </c>
      <c r="P3" s="8">
        <f>Расходы!P27</f>
        <v>350000</v>
      </c>
      <c r="Q3" s="8">
        <f>Расходы!Q27</f>
        <v>700000</v>
      </c>
      <c r="R3" s="8">
        <f>Расходы!R27</f>
        <v>700000</v>
      </c>
      <c r="S3" s="8">
        <f>Расходы!S27</f>
        <v>700000</v>
      </c>
      <c r="T3" s="8">
        <f>Расходы!T27</f>
        <v>700000</v>
      </c>
      <c r="U3" s="8">
        <f>Расходы!U27</f>
        <v>700000</v>
      </c>
      <c r="V3" s="8">
        <f>Расходы!V27</f>
        <v>700000</v>
      </c>
      <c r="W3" s="8">
        <f>Расходы!W27</f>
        <v>700000</v>
      </c>
      <c r="X3" s="8">
        <f>Расходы!X27</f>
        <v>700000</v>
      </c>
      <c r="Y3" s="8">
        <f>Расходы!Y27</f>
        <v>950000</v>
      </c>
      <c r="Z3" s="8">
        <f>Расходы!Z27</f>
        <v>950000</v>
      </c>
      <c r="AA3" s="8">
        <f>Расходы!AA27</f>
        <v>1220000</v>
      </c>
      <c r="AB3" s="8">
        <f>Расходы!AB27</f>
        <v>1120000</v>
      </c>
      <c r="AC3" s="8">
        <f>Расходы!AC27</f>
        <v>1120000</v>
      </c>
      <c r="AD3" s="8">
        <f>Расходы!AD27</f>
        <v>1120000</v>
      </c>
      <c r="AE3" s="8">
        <f>Расходы!AE27</f>
        <v>1120000</v>
      </c>
      <c r="AF3" s="8">
        <f>Расходы!AF27</f>
        <v>1120000</v>
      </c>
      <c r="AG3" s="8">
        <f>Расходы!AG27</f>
        <v>1120000</v>
      </c>
      <c r="AH3" s="8">
        <f>Расходы!AH27</f>
        <v>1120000</v>
      </c>
      <c r="AI3" s="8">
        <f>Расходы!AI27</f>
        <v>1120000</v>
      </c>
      <c r="AJ3" s="8">
        <f>Расходы!AJ27</f>
        <v>1120000</v>
      </c>
      <c r="AK3" s="8">
        <f>Расходы!AK27</f>
        <v>1300000</v>
      </c>
      <c r="AL3" s="8">
        <f>Расходы!AL27</f>
        <v>1300000</v>
      </c>
      <c r="AM3" s="7"/>
      <c r="AN3" s="7"/>
    </row>
    <row r="4" spans="1:40" ht="14.25">
      <c r="A4" s="8" t="s">
        <v>92</v>
      </c>
      <c r="B4" s="8" t="s">
        <v>93</v>
      </c>
      <c r="C4" s="8">
        <f t="shared" ref="C4:AL4" si="0">C2-C3</f>
        <v>0</v>
      </c>
      <c r="D4" s="8">
        <f t="shared" si="0"/>
        <v>0</v>
      </c>
      <c r="E4" s="8">
        <f t="shared" si="0"/>
        <v>0</v>
      </c>
      <c r="F4" s="8">
        <f t="shared" si="0"/>
        <v>0</v>
      </c>
      <c r="G4" s="8">
        <f t="shared" si="0"/>
        <v>0</v>
      </c>
      <c r="H4" s="8">
        <f t="shared" si="0"/>
        <v>0</v>
      </c>
      <c r="I4" s="8">
        <f t="shared" si="0"/>
        <v>0</v>
      </c>
      <c r="J4" s="8">
        <f t="shared" si="0"/>
        <v>0</v>
      </c>
      <c r="K4" s="8">
        <f t="shared" si="0"/>
        <v>0</v>
      </c>
      <c r="L4" s="8">
        <f t="shared" si="0"/>
        <v>0</v>
      </c>
      <c r="M4" s="8">
        <f t="shared" si="0"/>
        <v>0</v>
      </c>
      <c r="N4" s="8">
        <f t="shared" si="0"/>
        <v>0</v>
      </c>
      <c r="O4" s="8">
        <f t="shared" si="0"/>
        <v>160000</v>
      </c>
      <c r="P4" s="8">
        <f t="shared" si="0"/>
        <v>250000</v>
      </c>
      <c r="Q4" s="8">
        <f t="shared" si="0"/>
        <v>500000</v>
      </c>
      <c r="R4" s="8">
        <f t="shared" si="0"/>
        <v>500000</v>
      </c>
      <c r="S4" s="8">
        <f t="shared" si="0"/>
        <v>500000</v>
      </c>
      <c r="T4" s="8">
        <f t="shared" si="0"/>
        <v>500000</v>
      </c>
      <c r="U4" s="8">
        <f t="shared" si="0"/>
        <v>500000</v>
      </c>
      <c r="V4" s="8">
        <f t="shared" si="0"/>
        <v>500000</v>
      </c>
      <c r="W4" s="8">
        <f t="shared" si="0"/>
        <v>500000</v>
      </c>
      <c r="X4" s="8">
        <f t="shared" si="0"/>
        <v>500000</v>
      </c>
      <c r="Y4" s="8">
        <f t="shared" si="0"/>
        <v>650000</v>
      </c>
      <c r="Z4" s="8">
        <f t="shared" si="0"/>
        <v>650000</v>
      </c>
      <c r="AA4" s="8">
        <f t="shared" si="0"/>
        <v>860000.00000000023</v>
      </c>
      <c r="AB4" s="8">
        <f t="shared" si="0"/>
        <v>760000.00000000023</v>
      </c>
      <c r="AC4" s="8">
        <f t="shared" si="0"/>
        <v>760000.00000000023</v>
      </c>
      <c r="AD4" s="8">
        <f t="shared" si="0"/>
        <v>760000.00000000023</v>
      </c>
      <c r="AE4" s="8">
        <f t="shared" si="0"/>
        <v>760000.00000000023</v>
      </c>
      <c r="AF4" s="8">
        <f t="shared" si="0"/>
        <v>760000.00000000023</v>
      </c>
      <c r="AG4" s="8">
        <f t="shared" si="0"/>
        <v>760000.00000000023</v>
      </c>
      <c r="AH4" s="8">
        <f t="shared" si="0"/>
        <v>760000.00000000023</v>
      </c>
      <c r="AI4" s="8">
        <f t="shared" si="0"/>
        <v>760000.00000000023</v>
      </c>
      <c r="AJ4" s="8">
        <f t="shared" si="0"/>
        <v>760000.00000000023</v>
      </c>
      <c r="AK4" s="8">
        <f t="shared" si="0"/>
        <v>900000</v>
      </c>
      <c r="AL4" s="8">
        <f t="shared" si="0"/>
        <v>900000</v>
      </c>
      <c r="AM4" s="7"/>
      <c r="AN4" s="7"/>
    </row>
    <row r="5" spans="1:40" ht="14.25">
      <c r="A5" s="8" t="s">
        <v>94</v>
      </c>
      <c r="B5" s="9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7"/>
      <c r="AN5" s="7"/>
    </row>
    <row r="6" spans="1:40" ht="14.25">
      <c r="A6" s="8" t="s">
        <v>95</v>
      </c>
      <c r="B6" s="8" t="s">
        <v>96</v>
      </c>
      <c r="C6" s="8">
        <f>ФОТ!C5</f>
        <v>49230</v>
      </c>
      <c r="D6" s="8">
        <f>ФОТ!D5</f>
        <v>49230</v>
      </c>
      <c r="E6" s="8">
        <f>ФОТ!E5</f>
        <v>49230</v>
      </c>
      <c r="F6" s="8">
        <f>ФОТ!F5</f>
        <v>49230</v>
      </c>
      <c r="G6" s="8">
        <f>ФОТ!G5</f>
        <v>49230</v>
      </c>
      <c r="H6" s="8">
        <f>ФОТ!H5</f>
        <v>49230</v>
      </c>
      <c r="I6" s="8">
        <f>ФОТ!I5</f>
        <v>49230</v>
      </c>
      <c r="J6" s="8">
        <f>ФОТ!J5</f>
        <v>49230</v>
      </c>
      <c r="K6" s="8">
        <f>ФОТ!K5</f>
        <v>49230</v>
      </c>
      <c r="L6" s="8">
        <f>ФОТ!L5</f>
        <v>49230</v>
      </c>
      <c r="M6" s="8">
        <f>ФОТ!M5</f>
        <v>49230</v>
      </c>
      <c r="N6" s="8">
        <f>ФОТ!N5</f>
        <v>49230</v>
      </c>
      <c r="O6" s="8">
        <f>ФОТ!O5</f>
        <v>100000</v>
      </c>
      <c r="P6" s="8">
        <f>ФОТ!P5</f>
        <v>100000</v>
      </c>
      <c r="Q6" s="8">
        <f>ФОТ!Q5</f>
        <v>100000</v>
      </c>
      <c r="R6" s="8">
        <f>ФОТ!R5</f>
        <v>100000</v>
      </c>
      <c r="S6" s="8">
        <f>ФОТ!S5</f>
        <v>100000</v>
      </c>
      <c r="T6" s="8">
        <f>ФОТ!T5</f>
        <v>100000</v>
      </c>
      <c r="U6" s="8">
        <f>ФОТ!U5</f>
        <v>100000</v>
      </c>
      <c r="V6" s="8">
        <f>ФОТ!V5</f>
        <v>100000</v>
      </c>
      <c r="W6" s="8">
        <f>ФОТ!W5</f>
        <v>100000</v>
      </c>
      <c r="X6" s="8">
        <f>ФОТ!X5</f>
        <v>100000</v>
      </c>
      <c r="Y6" s="8">
        <f>ФОТ!Y5</f>
        <v>100000</v>
      </c>
      <c r="Z6" s="8">
        <f>ФОТ!Z5</f>
        <v>100000</v>
      </c>
      <c r="AA6" s="8">
        <f>ФОТ!AA5</f>
        <v>100000</v>
      </c>
      <c r="AB6" s="8">
        <f>ФОТ!AB5</f>
        <v>100000</v>
      </c>
      <c r="AC6" s="8">
        <f>ФОТ!AC5</f>
        <v>100000</v>
      </c>
      <c r="AD6" s="8">
        <f>ФОТ!AD5</f>
        <v>100000</v>
      </c>
      <c r="AE6" s="8">
        <f>ФОТ!AE5</f>
        <v>100000</v>
      </c>
      <c r="AF6" s="8">
        <f>ФОТ!AF5</f>
        <v>100000</v>
      </c>
      <c r="AG6" s="8">
        <f>ФОТ!AG5</f>
        <v>100000</v>
      </c>
      <c r="AH6" s="8">
        <f>ФОТ!AH5</f>
        <v>100000</v>
      </c>
      <c r="AI6" s="8">
        <f>ФОТ!AI5</f>
        <v>100000</v>
      </c>
      <c r="AJ6" s="8">
        <f>ФОТ!AJ5</f>
        <v>100000</v>
      </c>
      <c r="AK6" s="8">
        <f>ФОТ!AK5</f>
        <v>100000</v>
      </c>
      <c r="AL6" s="8">
        <f>ФОТ!AL5</f>
        <v>100000</v>
      </c>
      <c r="AM6" s="7"/>
      <c r="AN6" s="7"/>
    </row>
    <row r="7" spans="1:40" ht="14.25">
      <c r="A7" s="8" t="s">
        <v>97</v>
      </c>
      <c r="B7" s="8" t="s">
        <v>98</v>
      </c>
      <c r="C7" s="8">
        <f>ФОТ!C6</f>
        <v>14769</v>
      </c>
      <c r="D7" s="8">
        <f>ФОТ!D6</f>
        <v>14769</v>
      </c>
      <c r="E7" s="8">
        <f>ФОТ!E6</f>
        <v>14769</v>
      </c>
      <c r="F7" s="8">
        <f>ФОТ!F6</f>
        <v>14769</v>
      </c>
      <c r="G7" s="8">
        <f>ФОТ!G6</f>
        <v>14769</v>
      </c>
      <c r="H7" s="8">
        <f>ФОТ!H6</f>
        <v>14769</v>
      </c>
      <c r="I7" s="8">
        <f>ФОТ!I6</f>
        <v>14769</v>
      </c>
      <c r="J7" s="8">
        <f>ФОТ!J6</f>
        <v>14769</v>
      </c>
      <c r="K7" s="8">
        <f>ФОТ!K6</f>
        <v>14769</v>
      </c>
      <c r="L7" s="8">
        <f>ФОТ!L6</f>
        <v>14769</v>
      </c>
      <c r="M7" s="8">
        <f>ФОТ!M6</f>
        <v>14769</v>
      </c>
      <c r="N7" s="8">
        <f>ФОТ!N6</f>
        <v>14769</v>
      </c>
      <c r="O7" s="8">
        <f>ФОТ!O6</f>
        <v>30000</v>
      </c>
      <c r="P7" s="8">
        <f>ФОТ!P6</f>
        <v>30000</v>
      </c>
      <c r="Q7" s="8">
        <f>ФОТ!Q6</f>
        <v>30000</v>
      </c>
      <c r="R7" s="8">
        <f>ФОТ!R6</f>
        <v>30000</v>
      </c>
      <c r="S7" s="8">
        <f>ФОТ!S6</f>
        <v>30000</v>
      </c>
      <c r="T7" s="8">
        <f>ФОТ!T6</f>
        <v>30000</v>
      </c>
      <c r="U7" s="8">
        <f>ФОТ!U6</f>
        <v>30000</v>
      </c>
      <c r="V7" s="8">
        <f>ФОТ!V6</f>
        <v>30000</v>
      </c>
      <c r="W7" s="8">
        <f>ФОТ!W6</f>
        <v>30000</v>
      </c>
      <c r="X7" s="8">
        <f>ФОТ!X6</f>
        <v>30000</v>
      </c>
      <c r="Y7" s="8">
        <f>ФОТ!Y6</f>
        <v>30000</v>
      </c>
      <c r="Z7" s="8">
        <f>ФОТ!Z6</f>
        <v>30000</v>
      </c>
      <c r="AA7" s="8">
        <f>ФОТ!AA6</f>
        <v>30000</v>
      </c>
      <c r="AB7" s="8">
        <f>ФОТ!AB6</f>
        <v>30000</v>
      </c>
      <c r="AC7" s="8">
        <f>ФОТ!AC6</f>
        <v>30000</v>
      </c>
      <c r="AD7" s="8">
        <f>ФОТ!AD6</f>
        <v>30000</v>
      </c>
      <c r="AE7" s="8">
        <f>ФОТ!AE6</f>
        <v>30000</v>
      </c>
      <c r="AF7" s="8">
        <f>ФОТ!AF6</f>
        <v>30000</v>
      </c>
      <c r="AG7" s="8">
        <f>ФОТ!AG6</f>
        <v>30000</v>
      </c>
      <c r="AH7" s="8">
        <f>ФОТ!AH6</f>
        <v>30000</v>
      </c>
      <c r="AI7" s="8">
        <f>ФОТ!AI6</f>
        <v>30000</v>
      </c>
      <c r="AJ7" s="8">
        <f>ФОТ!AJ6</f>
        <v>30000</v>
      </c>
      <c r="AK7" s="8">
        <f>ФОТ!AK6</f>
        <v>30000</v>
      </c>
      <c r="AL7" s="8">
        <f>ФОТ!AL6</f>
        <v>30000</v>
      </c>
      <c r="AM7" s="7"/>
      <c r="AN7" s="7"/>
    </row>
    <row r="8" spans="1:40" ht="14.25">
      <c r="A8" s="8" t="s">
        <v>99</v>
      </c>
      <c r="B8" s="8" t="s">
        <v>100</v>
      </c>
      <c r="C8" s="8">
        <f>Расходы!C17</f>
        <v>0</v>
      </c>
      <c r="D8" s="8">
        <f>Расходы!D17</f>
        <v>0</v>
      </c>
      <c r="E8" s="8">
        <f>Расходы!E17</f>
        <v>0</v>
      </c>
      <c r="F8" s="8">
        <f>Расходы!F17</f>
        <v>0</v>
      </c>
      <c r="G8" s="8">
        <f>Расходы!G17</f>
        <v>0</v>
      </c>
      <c r="H8" s="8">
        <f>Расходы!H17</f>
        <v>0</v>
      </c>
      <c r="I8" s="8">
        <f>Расходы!I17</f>
        <v>0</v>
      </c>
      <c r="J8" s="8">
        <f>Расходы!J17</f>
        <v>0</v>
      </c>
      <c r="K8" s="8">
        <f>Расходы!K17</f>
        <v>0</v>
      </c>
      <c r="L8" s="8">
        <f>Расходы!L17</f>
        <v>0</v>
      </c>
      <c r="M8" s="8">
        <f>Расходы!M17</f>
        <v>0</v>
      </c>
      <c r="N8" s="8">
        <f>Расходы!N17</f>
        <v>0</v>
      </c>
      <c r="O8" s="8">
        <f>Расходы!O17</f>
        <v>50000</v>
      </c>
      <c r="P8" s="8">
        <f>Расходы!P17</f>
        <v>50000</v>
      </c>
      <c r="Q8" s="8">
        <f>Расходы!Q17</f>
        <v>50000</v>
      </c>
      <c r="R8" s="8">
        <f>Расходы!R17</f>
        <v>50000</v>
      </c>
      <c r="S8" s="8">
        <f>Расходы!S17</f>
        <v>50000</v>
      </c>
      <c r="T8" s="8">
        <f>Расходы!T17</f>
        <v>50000</v>
      </c>
      <c r="U8" s="8">
        <f>Расходы!U17</f>
        <v>50000</v>
      </c>
      <c r="V8" s="8">
        <f>Расходы!V17</f>
        <v>50000</v>
      </c>
      <c r="W8" s="8">
        <f>Расходы!W17</f>
        <v>50000</v>
      </c>
      <c r="X8" s="8">
        <f>Расходы!X17</f>
        <v>50000</v>
      </c>
      <c r="Y8" s="8">
        <f>Расходы!Y17</f>
        <v>50000</v>
      </c>
      <c r="Z8" s="8">
        <f>Расходы!Z17</f>
        <v>50000</v>
      </c>
      <c r="AA8" s="8">
        <f>Расходы!AA17</f>
        <v>50000</v>
      </c>
      <c r="AB8" s="8">
        <f>Расходы!AB17</f>
        <v>50000</v>
      </c>
      <c r="AC8" s="8">
        <f>Расходы!AC17</f>
        <v>50000</v>
      </c>
      <c r="AD8" s="8">
        <f>Расходы!AD17</f>
        <v>50000</v>
      </c>
      <c r="AE8" s="8">
        <f>Расходы!AE17</f>
        <v>50000</v>
      </c>
      <c r="AF8" s="8">
        <f>Расходы!AF17</f>
        <v>50000</v>
      </c>
      <c r="AG8" s="8">
        <f>Расходы!AG17</f>
        <v>50000</v>
      </c>
      <c r="AH8" s="8">
        <f>Расходы!AH17</f>
        <v>50000</v>
      </c>
      <c r="AI8" s="8">
        <f>Расходы!AI17</f>
        <v>50000</v>
      </c>
      <c r="AJ8" s="8">
        <f>Расходы!AJ17</f>
        <v>50000</v>
      </c>
      <c r="AK8" s="8">
        <f>Расходы!AK17</f>
        <v>50000</v>
      </c>
      <c r="AL8" s="8">
        <f>Расходы!AL17</f>
        <v>50000</v>
      </c>
      <c r="AM8" s="7"/>
      <c r="AN8" s="7"/>
    </row>
    <row r="9" spans="1:40" ht="14.25">
      <c r="A9" s="8" t="s">
        <v>101</v>
      </c>
      <c r="B9" s="8" t="s">
        <v>102</v>
      </c>
      <c r="C9" s="8">
        <f>Расходы!C18</f>
        <v>0</v>
      </c>
      <c r="D9" s="8">
        <f>Расходы!D18</f>
        <v>0</v>
      </c>
      <c r="E9" s="8">
        <f>Расходы!E18</f>
        <v>0</v>
      </c>
      <c r="F9" s="8">
        <f>Расходы!F18</f>
        <v>0</v>
      </c>
      <c r="G9" s="8">
        <f>Расходы!G18</f>
        <v>0</v>
      </c>
      <c r="H9" s="8">
        <f>Расходы!H18</f>
        <v>0</v>
      </c>
      <c r="I9" s="8">
        <f>Расходы!I18</f>
        <v>0</v>
      </c>
      <c r="J9" s="8">
        <f>Расходы!J18</f>
        <v>0</v>
      </c>
      <c r="K9" s="8">
        <f>Расходы!K18</f>
        <v>0</v>
      </c>
      <c r="L9" s="8">
        <f>Расходы!L18</f>
        <v>0</v>
      </c>
      <c r="M9" s="8">
        <f>Расходы!M18</f>
        <v>0</v>
      </c>
      <c r="N9" s="8">
        <f>Расходы!N18</f>
        <v>0</v>
      </c>
      <c r="O9" s="8">
        <f>Расходы!O18</f>
        <v>40000</v>
      </c>
      <c r="P9" s="8">
        <f>Расходы!P18</f>
        <v>40000</v>
      </c>
      <c r="Q9" s="8">
        <f>Расходы!Q18</f>
        <v>40000</v>
      </c>
      <c r="R9" s="8">
        <f>Расходы!R18</f>
        <v>40000</v>
      </c>
      <c r="S9" s="8">
        <f>Расходы!S18</f>
        <v>40000</v>
      </c>
      <c r="T9" s="8">
        <f>Расходы!T18</f>
        <v>40000</v>
      </c>
      <c r="U9" s="8">
        <f>Расходы!U18</f>
        <v>40000</v>
      </c>
      <c r="V9" s="8">
        <f>Расходы!V18</f>
        <v>40000</v>
      </c>
      <c r="W9" s="8">
        <f>Расходы!W18</f>
        <v>40000</v>
      </c>
      <c r="X9" s="8">
        <f>Расходы!X18</f>
        <v>40000</v>
      </c>
      <c r="Y9" s="8">
        <f>Расходы!Y18</f>
        <v>40000</v>
      </c>
      <c r="Z9" s="8">
        <f>Расходы!Z18</f>
        <v>40000</v>
      </c>
      <c r="AA9" s="8">
        <f>Расходы!AA18</f>
        <v>40000</v>
      </c>
      <c r="AB9" s="8">
        <f>Расходы!AB18</f>
        <v>40000</v>
      </c>
      <c r="AC9" s="8">
        <f>Расходы!AC18</f>
        <v>40000</v>
      </c>
      <c r="AD9" s="8">
        <f>Расходы!AD18</f>
        <v>40000</v>
      </c>
      <c r="AE9" s="8">
        <f>Расходы!AE18</f>
        <v>40000</v>
      </c>
      <c r="AF9" s="8">
        <f>Расходы!AF18</f>
        <v>40000</v>
      </c>
      <c r="AG9" s="8">
        <f>Расходы!AG18</f>
        <v>40000</v>
      </c>
      <c r="AH9" s="8">
        <f>Расходы!AH18</f>
        <v>40000</v>
      </c>
      <c r="AI9" s="8">
        <f>Расходы!AI18</f>
        <v>40000</v>
      </c>
      <c r="AJ9" s="8">
        <f>Расходы!AJ18</f>
        <v>40000</v>
      </c>
      <c r="AK9" s="8">
        <f>Расходы!AK18</f>
        <v>40000</v>
      </c>
      <c r="AL9" s="8">
        <f>Расходы!AL18</f>
        <v>40000</v>
      </c>
      <c r="AM9" s="10"/>
      <c r="AN9" s="10"/>
    </row>
    <row r="10" spans="1:40" ht="14.25">
      <c r="A10" s="5" t="s">
        <v>103</v>
      </c>
      <c r="B10" s="6" t="s">
        <v>104</v>
      </c>
      <c r="C10" s="6">
        <f>Расходы!C19</f>
        <v>0</v>
      </c>
      <c r="D10" s="6">
        <f>Расходы!D19</f>
        <v>0</v>
      </c>
      <c r="E10" s="6">
        <f>Расходы!E19</f>
        <v>0</v>
      </c>
      <c r="F10" s="6">
        <f>Расходы!F19</f>
        <v>0</v>
      </c>
      <c r="G10" s="6">
        <f>Расходы!G19</f>
        <v>0</v>
      </c>
      <c r="H10" s="6">
        <f>Расходы!H19</f>
        <v>0</v>
      </c>
      <c r="I10" s="6">
        <f>Расходы!I19</f>
        <v>0</v>
      </c>
      <c r="J10" s="6">
        <f>Расходы!J19</f>
        <v>0</v>
      </c>
      <c r="K10" s="6">
        <f>Расходы!K19</f>
        <v>0</v>
      </c>
      <c r="L10" s="6">
        <f>Расходы!L19</f>
        <v>0</v>
      </c>
      <c r="M10" s="6">
        <f>Расходы!M19</f>
        <v>0</v>
      </c>
      <c r="N10" s="6">
        <f>Расходы!N19</f>
        <v>0</v>
      </c>
      <c r="O10" s="6">
        <f>Расходы!O19</f>
        <v>10000</v>
      </c>
      <c r="P10" s="6">
        <f>Расходы!P19</f>
        <v>10000</v>
      </c>
      <c r="Q10" s="6">
        <f>Расходы!Q19</f>
        <v>10000</v>
      </c>
      <c r="R10" s="6">
        <f>Расходы!R19</f>
        <v>10000</v>
      </c>
      <c r="S10" s="6">
        <f>Расходы!S19</f>
        <v>10000</v>
      </c>
      <c r="T10" s="6">
        <f>Расходы!T19</f>
        <v>10000</v>
      </c>
      <c r="U10" s="6">
        <f>Расходы!U19</f>
        <v>10000</v>
      </c>
      <c r="V10" s="6">
        <f>Расходы!V19</f>
        <v>10000</v>
      </c>
      <c r="W10" s="6">
        <f>Расходы!W19</f>
        <v>10000</v>
      </c>
      <c r="X10" s="6">
        <f>Расходы!X19</f>
        <v>10000</v>
      </c>
      <c r="Y10" s="6">
        <f>Расходы!Y19</f>
        <v>10000</v>
      </c>
      <c r="Z10" s="6">
        <f>Расходы!Z19</f>
        <v>10000</v>
      </c>
      <c r="AA10" s="6">
        <f>Расходы!AA19</f>
        <v>10000</v>
      </c>
      <c r="AB10" s="6">
        <f>Расходы!AB19</f>
        <v>10000</v>
      </c>
      <c r="AC10" s="6">
        <f>Расходы!AC19</f>
        <v>10000</v>
      </c>
      <c r="AD10" s="6">
        <f>Расходы!AD19</f>
        <v>10000</v>
      </c>
      <c r="AE10" s="6">
        <f>Расходы!AE19</f>
        <v>10000</v>
      </c>
      <c r="AF10" s="6">
        <f>Расходы!AF19</f>
        <v>10000</v>
      </c>
      <c r="AG10" s="6">
        <f>Расходы!AG19</f>
        <v>10000</v>
      </c>
      <c r="AH10" s="6">
        <f>Расходы!AH19</f>
        <v>10000</v>
      </c>
      <c r="AI10" s="6">
        <f>Расходы!AI19</f>
        <v>10000</v>
      </c>
      <c r="AJ10" s="6">
        <f>Расходы!AJ19</f>
        <v>10000</v>
      </c>
      <c r="AK10" s="6">
        <f>Расходы!AK19</f>
        <v>10000</v>
      </c>
      <c r="AL10" s="6">
        <f>Расходы!AL19</f>
        <v>10000</v>
      </c>
      <c r="AM10" s="7"/>
      <c r="AN10" s="7"/>
    </row>
    <row r="11" spans="1:40" ht="14.25">
      <c r="A11" s="8" t="s">
        <v>105</v>
      </c>
      <c r="B11" s="8" t="s">
        <v>106</v>
      </c>
      <c r="C11" s="8">
        <f t="shared" ref="C11:AL11" si="1">SUM(C6:C10)</f>
        <v>63999</v>
      </c>
      <c r="D11" s="8">
        <f t="shared" si="1"/>
        <v>63999</v>
      </c>
      <c r="E11" s="8">
        <f t="shared" si="1"/>
        <v>63999</v>
      </c>
      <c r="F11" s="8">
        <f t="shared" si="1"/>
        <v>63999</v>
      </c>
      <c r="G11" s="8">
        <f t="shared" si="1"/>
        <v>63999</v>
      </c>
      <c r="H11" s="8">
        <f t="shared" si="1"/>
        <v>63999</v>
      </c>
      <c r="I11" s="8">
        <f t="shared" si="1"/>
        <v>63999</v>
      </c>
      <c r="J11" s="8">
        <f t="shared" si="1"/>
        <v>63999</v>
      </c>
      <c r="K11" s="8">
        <f t="shared" si="1"/>
        <v>63999</v>
      </c>
      <c r="L11" s="8">
        <f t="shared" si="1"/>
        <v>63999</v>
      </c>
      <c r="M11" s="8">
        <f t="shared" si="1"/>
        <v>63999</v>
      </c>
      <c r="N11" s="8">
        <f t="shared" si="1"/>
        <v>63999</v>
      </c>
      <c r="O11" s="8">
        <f t="shared" si="1"/>
        <v>230000</v>
      </c>
      <c r="P11" s="8">
        <f t="shared" si="1"/>
        <v>230000</v>
      </c>
      <c r="Q11" s="8">
        <f t="shared" si="1"/>
        <v>230000</v>
      </c>
      <c r="R11" s="8">
        <f t="shared" si="1"/>
        <v>230000</v>
      </c>
      <c r="S11" s="8">
        <f t="shared" si="1"/>
        <v>230000</v>
      </c>
      <c r="T11" s="8">
        <f t="shared" si="1"/>
        <v>230000</v>
      </c>
      <c r="U11" s="8">
        <f t="shared" si="1"/>
        <v>230000</v>
      </c>
      <c r="V11" s="8">
        <f t="shared" si="1"/>
        <v>230000</v>
      </c>
      <c r="W11" s="8">
        <f t="shared" si="1"/>
        <v>230000</v>
      </c>
      <c r="X11" s="8">
        <f t="shared" si="1"/>
        <v>230000</v>
      </c>
      <c r="Y11" s="8">
        <f t="shared" si="1"/>
        <v>230000</v>
      </c>
      <c r="Z11" s="8">
        <f t="shared" si="1"/>
        <v>230000</v>
      </c>
      <c r="AA11" s="8">
        <f t="shared" si="1"/>
        <v>230000</v>
      </c>
      <c r="AB11" s="8">
        <f t="shared" si="1"/>
        <v>230000</v>
      </c>
      <c r="AC11" s="8">
        <f t="shared" si="1"/>
        <v>230000</v>
      </c>
      <c r="AD11" s="8">
        <f t="shared" si="1"/>
        <v>230000</v>
      </c>
      <c r="AE11" s="8">
        <f t="shared" si="1"/>
        <v>230000</v>
      </c>
      <c r="AF11" s="8">
        <f t="shared" si="1"/>
        <v>230000</v>
      </c>
      <c r="AG11" s="8">
        <f t="shared" si="1"/>
        <v>230000</v>
      </c>
      <c r="AH11" s="8">
        <f t="shared" si="1"/>
        <v>230000</v>
      </c>
      <c r="AI11" s="8">
        <f t="shared" si="1"/>
        <v>230000</v>
      </c>
      <c r="AJ11" s="8">
        <f t="shared" si="1"/>
        <v>230000</v>
      </c>
      <c r="AK11" s="8">
        <f t="shared" si="1"/>
        <v>230000</v>
      </c>
      <c r="AL11" s="8">
        <f t="shared" si="1"/>
        <v>230000</v>
      </c>
      <c r="AM11" s="7"/>
      <c r="AN11" s="7"/>
    </row>
    <row r="12" spans="1:40" ht="14.25">
      <c r="A12" s="8" t="s">
        <v>107</v>
      </c>
      <c r="B12" s="8" t="s">
        <v>108</v>
      </c>
      <c r="C12" s="8">
        <f t="shared" ref="C12:AL12" si="2">C4-C11</f>
        <v>-63999</v>
      </c>
      <c r="D12" s="8">
        <f t="shared" si="2"/>
        <v>-63999</v>
      </c>
      <c r="E12" s="8">
        <f t="shared" si="2"/>
        <v>-63999</v>
      </c>
      <c r="F12" s="8">
        <f t="shared" si="2"/>
        <v>-63999</v>
      </c>
      <c r="G12" s="8">
        <f t="shared" si="2"/>
        <v>-63999</v>
      </c>
      <c r="H12" s="8">
        <f t="shared" si="2"/>
        <v>-63999</v>
      </c>
      <c r="I12" s="8">
        <f t="shared" si="2"/>
        <v>-63999</v>
      </c>
      <c r="J12" s="8">
        <f t="shared" si="2"/>
        <v>-63999</v>
      </c>
      <c r="K12" s="8">
        <f t="shared" si="2"/>
        <v>-63999</v>
      </c>
      <c r="L12" s="8">
        <f t="shared" si="2"/>
        <v>-63999</v>
      </c>
      <c r="M12" s="8">
        <f t="shared" si="2"/>
        <v>-63999</v>
      </c>
      <c r="N12" s="8">
        <f t="shared" si="2"/>
        <v>-63999</v>
      </c>
      <c r="O12" s="8">
        <f t="shared" si="2"/>
        <v>-70000</v>
      </c>
      <c r="P12" s="8">
        <f t="shared" si="2"/>
        <v>20000</v>
      </c>
      <c r="Q12" s="8">
        <f t="shared" si="2"/>
        <v>270000</v>
      </c>
      <c r="R12" s="8">
        <f t="shared" si="2"/>
        <v>270000</v>
      </c>
      <c r="S12" s="8">
        <f t="shared" si="2"/>
        <v>270000</v>
      </c>
      <c r="T12" s="8">
        <f t="shared" si="2"/>
        <v>270000</v>
      </c>
      <c r="U12" s="8">
        <f t="shared" si="2"/>
        <v>270000</v>
      </c>
      <c r="V12" s="8">
        <f t="shared" si="2"/>
        <v>270000</v>
      </c>
      <c r="W12" s="8">
        <f t="shared" si="2"/>
        <v>270000</v>
      </c>
      <c r="X12" s="8">
        <f t="shared" si="2"/>
        <v>270000</v>
      </c>
      <c r="Y12" s="8">
        <f t="shared" si="2"/>
        <v>420000</v>
      </c>
      <c r="Z12" s="8">
        <f t="shared" si="2"/>
        <v>420000</v>
      </c>
      <c r="AA12" s="8">
        <f t="shared" si="2"/>
        <v>630000.00000000023</v>
      </c>
      <c r="AB12" s="8">
        <f t="shared" si="2"/>
        <v>530000.00000000023</v>
      </c>
      <c r="AC12" s="8">
        <f t="shared" si="2"/>
        <v>530000.00000000023</v>
      </c>
      <c r="AD12" s="8">
        <f t="shared" si="2"/>
        <v>530000.00000000023</v>
      </c>
      <c r="AE12" s="8">
        <f t="shared" si="2"/>
        <v>530000.00000000023</v>
      </c>
      <c r="AF12" s="8">
        <f t="shared" si="2"/>
        <v>530000.00000000023</v>
      </c>
      <c r="AG12" s="8">
        <f t="shared" si="2"/>
        <v>530000.00000000023</v>
      </c>
      <c r="AH12" s="8">
        <f t="shared" si="2"/>
        <v>530000.00000000023</v>
      </c>
      <c r="AI12" s="8">
        <f t="shared" si="2"/>
        <v>530000.00000000023</v>
      </c>
      <c r="AJ12" s="8">
        <f t="shared" si="2"/>
        <v>530000.00000000023</v>
      </c>
      <c r="AK12" s="8">
        <f t="shared" si="2"/>
        <v>670000</v>
      </c>
      <c r="AL12" s="8">
        <f t="shared" si="2"/>
        <v>670000</v>
      </c>
      <c r="AM12" s="7"/>
      <c r="AN12" s="7"/>
    </row>
    <row r="13" spans="1:40" ht="14.25">
      <c r="A13" s="8" t="s">
        <v>109</v>
      </c>
      <c r="B13" s="8" t="s">
        <v>110</v>
      </c>
      <c r="C13" s="8">
        <f t="shared" ref="C13:AL13" si="3">IF(C12&gt;0,C12*0.15,0)</f>
        <v>0</v>
      </c>
      <c r="D13" s="8">
        <f t="shared" si="3"/>
        <v>0</v>
      </c>
      <c r="E13" s="8">
        <f t="shared" si="3"/>
        <v>0</v>
      </c>
      <c r="F13" s="8">
        <f t="shared" si="3"/>
        <v>0</v>
      </c>
      <c r="G13" s="8">
        <f t="shared" si="3"/>
        <v>0</v>
      </c>
      <c r="H13" s="8">
        <f t="shared" si="3"/>
        <v>0</v>
      </c>
      <c r="I13" s="8">
        <f t="shared" si="3"/>
        <v>0</v>
      </c>
      <c r="J13" s="8">
        <f t="shared" si="3"/>
        <v>0</v>
      </c>
      <c r="K13" s="8">
        <f t="shared" si="3"/>
        <v>0</v>
      </c>
      <c r="L13" s="8">
        <f t="shared" si="3"/>
        <v>0</v>
      </c>
      <c r="M13" s="8">
        <f t="shared" si="3"/>
        <v>0</v>
      </c>
      <c r="N13" s="8">
        <f t="shared" si="3"/>
        <v>0</v>
      </c>
      <c r="O13" s="8">
        <f t="shared" si="3"/>
        <v>0</v>
      </c>
      <c r="P13" s="8">
        <f t="shared" si="3"/>
        <v>3000</v>
      </c>
      <c r="Q13" s="8">
        <f t="shared" si="3"/>
        <v>40500</v>
      </c>
      <c r="R13" s="8">
        <f t="shared" si="3"/>
        <v>40500</v>
      </c>
      <c r="S13" s="8">
        <f t="shared" si="3"/>
        <v>40500</v>
      </c>
      <c r="T13" s="8">
        <f t="shared" si="3"/>
        <v>40500</v>
      </c>
      <c r="U13" s="8">
        <f t="shared" si="3"/>
        <v>40500</v>
      </c>
      <c r="V13" s="8">
        <f t="shared" si="3"/>
        <v>40500</v>
      </c>
      <c r="W13" s="8">
        <f t="shared" si="3"/>
        <v>40500</v>
      </c>
      <c r="X13" s="8">
        <f t="shared" si="3"/>
        <v>40500</v>
      </c>
      <c r="Y13" s="8">
        <f t="shared" si="3"/>
        <v>63000</v>
      </c>
      <c r="Z13" s="8">
        <f t="shared" si="3"/>
        <v>63000</v>
      </c>
      <c r="AA13" s="8">
        <f t="shared" si="3"/>
        <v>94500.000000000029</v>
      </c>
      <c r="AB13" s="8">
        <f t="shared" si="3"/>
        <v>79500.000000000029</v>
      </c>
      <c r="AC13" s="8">
        <f t="shared" si="3"/>
        <v>79500.000000000029</v>
      </c>
      <c r="AD13" s="8">
        <f t="shared" si="3"/>
        <v>79500.000000000029</v>
      </c>
      <c r="AE13" s="8">
        <f t="shared" si="3"/>
        <v>79500.000000000029</v>
      </c>
      <c r="AF13" s="8">
        <f t="shared" si="3"/>
        <v>79500.000000000029</v>
      </c>
      <c r="AG13" s="8">
        <f t="shared" si="3"/>
        <v>79500.000000000029</v>
      </c>
      <c r="AH13" s="8">
        <f t="shared" si="3"/>
        <v>79500.000000000029</v>
      </c>
      <c r="AI13" s="8">
        <f t="shared" si="3"/>
        <v>79500.000000000029</v>
      </c>
      <c r="AJ13" s="8">
        <f t="shared" si="3"/>
        <v>79500.000000000029</v>
      </c>
      <c r="AK13" s="8">
        <f t="shared" si="3"/>
        <v>100500</v>
      </c>
      <c r="AL13" s="8">
        <f t="shared" si="3"/>
        <v>100500</v>
      </c>
      <c r="AM13" s="7"/>
      <c r="AN13" s="7"/>
    </row>
    <row r="14" spans="1:40" ht="14.25">
      <c r="A14" s="8" t="s">
        <v>111</v>
      </c>
      <c r="B14" s="8" t="s">
        <v>112</v>
      </c>
      <c r="C14" s="8">
        <f t="shared" ref="C14:AL14" si="4">C12-C13</f>
        <v>-63999</v>
      </c>
      <c r="D14" s="8">
        <f t="shared" si="4"/>
        <v>-63999</v>
      </c>
      <c r="E14" s="8">
        <f t="shared" si="4"/>
        <v>-63999</v>
      </c>
      <c r="F14" s="8">
        <f t="shared" si="4"/>
        <v>-63999</v>
      </c>
      <c r="G14" s="8">
        <f t="shared" si="4"/>
        <v>-63999</v>
      </c>
      <c r="H14" s="8">
        <f t="shared" si="4"/>
        <v>-63999</v>
      </c>
      <c r="I14" s="8">
        <f t="shared" si="4"/>
        <v>-63999</v>
      </c>
      <c r="J14" s="8">
        <f t="shared" si="4"/>
        <v>-63999</v>
      </c>
      <c r="K14" s="8">
        <f t="shared" si="4"/>
        <v>-63999</v>
      </c>
      <c r="L14" s="8">
        <f t="shared" si="4"/>
        <v>-63999</v>
      </c>
      <c r="M14" s="8">
        <f t="shared" si="4"/>
        <v>-63999</v>
      </c>
      <c r="N14" s="8">
        <f t="shared" si="4"/>
        <v>-63999</v>
      </c>
      <c r="O14" s="8">
        <f t="shared" si="4"/>
        <v>-70000</v>
      </c>
      <c r="P14" s="8">
        <f t="shared" si="4"/>
        <v>17000</v>
      </c>
      <c r="Q14" s="8">
        <f t="shared" si="4"/>
        <v>229500</v>
      </c>
      <c r="R14" s="8">
        <f t="shared" si="4"/>
        <v>229500</v>
      </c>
      <c r="S14" s="8">
        <f t="shared" si="4"/>
        <v>229500</v>
      </c>
      <c r="T14" s="8">
        <f t="shared" si="4"/>
        <v>229500</v>
      </c>
      <c r="U14" s="8">
        <f t="shared" si="4"/>
        <v>229500</v>
      </c>
      <c r="V14" s="8">
        <f t="shared" si="4"/>
        <v>229500</v>
      </c>
      <c r="W14" s="8">
        <f t="shared" si="4"/>
        <v>229500</v>
      </c>
      <c r="X14" s="8">
        <f t="shared" si="4"/>
        <v>229500</v>
      </c>
      <c r="Y14" s="8">
        <f t="shared" si="4"/>
        <v>357000</v>
      </c>
      <c r="Z14" s="8">
        <f t="shared" si="4"/>
        <v>357000</v>
      </c>
      <c r="AA14" s="8">
        <f t="shared" si="4"/>
        <v>535500.00000000023</v>
      </c>
      <c r="AB14" s="8">
        <f t="shared" si="4"/>
        <v>450500.00000000023</v>
      </c>
      <c r="AC14" s="8">
        <f t="shared" si="4"/>
        <v>450500.00000000023</v>
      </c>
      <c r="AD14" s="8">
        <f t="shared" si="4"/>
        <v>450500.00000000023</v>
      </c>
      <c r="AE14" s="8">
        <f t="shared" si="4"/>
        <v>450500.00000000023</v>
      </c>
      <c r="AF14" s="8">
        <f t="shared" si="4"/>
        <v>450500.00000000023</v>
      </c>
      <c r="AG14" s="8">
        <f t="shared" si="4"/>
        <v>450500.00000000023</v>
      </c>
      <c r="AH14" s="8">
        <f t="shared" si="4"/>
        <v>450500.00000000023</v>
      </c>
      <c r="AI14" s="8">
        <f t="shared" si="4"/>
        <v>450500.00000000023</v>
      </c>
      <c r="AJ14" s="8">
        <f t="shared" si="4"/>
        <v>450500.00000000023</v>
      </c>
      <c r="AK14" s="8">
        <f t="shared" si="4"/>
        <v>569500</v>
      </c>
      <c r="AL14" s="8">
        <f t="shared" si="4"/>
        <v>569500</v>
      </c>
      <c r="AM14" s="7"/>
      <c r="AN14" s="7"/>
    </row>
    <row r="15" spans="1:40" ht="14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7"/>
      <c r="AN15" s="7"/>
    </row>
    <row r="16" spans="1:40" ht="15.75" customHeight="1">
      <c r="A16" s="3" t="s">
        <v>42</v>
      </c>
      <c r="B16" s="3" t="s">
        <v>113</v>
      </c>
      <c r="C16" s="3" t="s">
        <v>114</v>
      </c>
      <c r="D16" s="3" t="s">
        <v>115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7"/>
      <c r="AN16" s="7"/>
    </row>
    <row r="17" spans="1:40" ht="14.25">
      <c r="A17" s="5" t="s">
        <v>116</v>
      </c>
      <c r="B17" s="6"/>
      <c r="C17" s="6"/>
      <c r="D17" s="1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7"/>
      <c r="AN17" s="7"/>
    </row>
    <row r="18" spans="1:40" ht="14.25">
      <c r="A18" s="8" t="s">
        <v>117</v>
      </c>
      <c r="B18" s="8">
        <f t="shared" ref="B18:B20" si="5">SUM($C2:$N2)</f>
        <v>0</v>
      </c>
      <c r="C18" s="8">
        <f t="shared" ref="C18:C20" si="6">SUM($O2:$Z2)</f>
        <v>13780000</v>
      </c>
      <c r="D18" s="8">
        <f>SUM($AA2:$AL2)</f>
        <v>23400000.000000004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7"/>
      <c r="AN18" s="7"/>
    </row>
    <row r="19" spans="1:40" ht="14.25">
      <c r="A19" s="8" t="s">
        <v>118</v>
      </c>
      <c r="B19" s="8">
        <f t="shared" si="5"/>
        <v>0</v>
      </c>
      <c r="C19" s="8">
        <f t="shared" si="6"/>
        <v>8070000</v>
      </c>
      <c r="D19" s="8">
        <f>SUM($AA7:$AL7)</f>
        <v>360000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7"/>
      <c r="AN19" s="7"/>
    </row>
    <row r="20" spans="1:40" ht="14.25">
      <c r="A20" s="8" t="s">
        <v>119</v>
      </c>
      <c r="B20" s="8">
        <f t="shared" si="5"/>
        <v>0</v>
      </c>
      <c r="C20" s="8">
        <f t="shared" si="6"/>
        <v>5710000</v>
      </c>
      <c r="D20" s="8">
        <f>SUM($AA4:$AL4)</f>
        <v>9500000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7"/>
      <c r="AN20" s="7"/>
    </row>
    <row r="21" spans="1:40" ht="14.25">
      <c r="A21" s="8" t="s">
        <v>120</v>
      </c>
      <c r="B21" s="12">
        <v>0</v>
      </c>
      <c r="C21" s="12">
        <f t="shared" ref="C21:D21" si="7">C20/C18</f>
        <v>0.4143686502177068</v>
      </c>
      <c r="D21" s="12">
        <f t="shared" si="7"/>
        <v>0.40598290598290593</v>
      </c>
    </row>
    <row r="22" spans="1:40" ht="14.25">
      <c r="A22" s="5" t="s">
        <v>121</v>
      </c>
      <c r="B22" s="6"/>
      <c r="C22" s="6"/>
      <c r="D22" s="11"/>
    </row>
    <row r="23" spans="1:40" ht="14.25">
      <c r="A23" s="8" t="s">
        <v>122</v>
      </c>
      <c r="B23" s="8">
        <f>SUM(C7:N7)</f>
        <v>177228</v>
      </c>
      <c r="C23" s="8">
        <f>SUM(O7:Z7)</f>
        <v>360000</v>
      </c>
      <c r="D23" s="8">
        <f>SUM(AA7:AL7)</f>
        <v>360000</v>
      </c>
    </row>
    <row r="24" spans="1:40" ht="14.25">
      <c r="A24" s="8" t="s">
        <v>123</v>
      </c>
      <c r="B24" s="8">
        <f t="shared" ref="B24:D24" si="8">B23*30%</f>
        <v>53168.4</v>
      </c>
      <c r="C24" s="8">
        <f t="shared" si="8"/>
        <v>108000</v>
      </c>
      <c r="D24" s="8">
        <f t="shared" si="8"/>
        <v>108000</v>
      </c>
    </row>
    <row r="25" spans="1:40" ht="14.25">
      <c r="A25" s="8" t="s">
        <v>124</v>
      </c>
      <c r="B25" s="8">
        <f t="shared" ref="B25:B28" si="9">SUM(C8:N8)</f>
        <v>0</v>
      </c>
      <c r="C25" s="8">
        <f>SUM(O13:Z13)</f>
        <v>453000</v>
      </c>
      <c r="D25" s="8">
        <f t="shared" ref="D25:D28" si="10">SUM(AA8:AL8)</f>
        <v>600000</v>
      </c>
    </row>
    <row r="26" spans="1:40" ht="14.25">
      <c r="A26" s="8" t="s">
        <v>125</v>
      </c>
      <c r="B26" s="8">
        <f t="shared" si="9"/>
        <v>0</v>
      </c>
      <c r="C26" s="8">
        <f t="shared" ref="C26:C28" si="11">SUM(O9:Z9)</f>
        <v>480000</v>
      </c>
      <c r="D26" s="8">
        <f t="shared" si="10"/>
        <v>480000</v>
      </c>
    </row>
    <row r="27" spans="1:40" ht="14.25">
      <c r="A27" s="8" t="s">
        <v>126</v>
      </c>
      <c r="B27" s="8">
        <f t="shared" si="9"/>
        <v>0</v>
      </c>
      <c r="C27" s="8">
        <f t="shared" si="11"/>
        <v>120000</v>
      </c>
      <c r="D27" s="8">
        <f t="shared" si="10"/>
        <v>120000</v>
      </c>
    </row>
    <row r="28" spans="1:40" ht="14.25">
      <c r="A28" s="8" t="s">
        <v>105</v>
      </c>
      <c r="B28" s="8">
        <f t="shared" si="9"/>
        <v>767988</v>
      </c>
      <c r="C28" s="8">
        <f t="shared" si="11"/>
        <v>2760000</v>
      </c>
      <c r="D28" s="8">
        <f t="shared" si="10"/>
        <v>2760000</v>
      </c>
    </row>
    <row r="29" spans="1:40" ht="14.25">
      <c r="A29" s="8" t="s">
        <v>127</v>
      </c>
      <c r="B29" s="8">
        <f t="shared" ref="B29:D29" si="12">B20-B28</f>
        <v>-767988</v>
      </c>
      <c r="C29" s="8">
        <f t="shared" si="12"/>
        <v>2950000</v>
      </c>
      <c r="D29" s="8">
        <f t="shared" si="12"/>
        <v>6740000</v>
      </c>
    </row>
    <row r="30" spans="1:40" ht="14.25">
      <c r="A30" s="5" t="s">
        <v>128</v>
      </c>
      <c r="B30" s="6"/>
      <c r="C30" s="6"/>
      <c r="D30" s="11"/>
    </row>
    <row r="31" spans="1:40" ht="14.25">
      <c r="A31" s="8" t="s">
        <v>129</v>
      </c>
      <c r="B31" s="8">
        <f t="shared" ref="B31:D31" si="13">IF(B29&gt;0, B29*15%, 0)</f>
        <v>0</v>
      </c>
      <c r="C31" s="8">
        <f t="shared" si="13"/>
        <v>442500</v>
      </c>
      <c r="D31" s="8">
        <f t="shared" si="13"/>
        <v>1011000</v>
      </c>
    </row>
    <row r="32" spans="1:40" ht="14.25">
      <c r="A32" s="8" t="s">
        <v>130</v>
      </c>
      <c r="B32" s="8">
        <f t="shared" ref="B32:D32" si="14">B29-B31</f>
        <v>-767988</v>
      </c>
      <c r="C32" s="8">
        <f t="shared" si="14"/>
        <v>2507500</v>
      </c>
      <c r="D32" s="8">
        <f t="shared" si="14"/>
        <v>5729000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M16"/>
  <sheetViews>
    <sheetView workbookViewId="0"/>
  </sheetViews>
  <sheetFormatPr defaultColWidth="12.5703125" defaultRowHeight="15.75" customHeight="1"/>
  <cols>
    <col min="1" max="1" width="44.85546875" customWidth="1"/>
    <col min="2" max="2" width="35.42578125" customWidth="1"/>
  </cols>
  <sheetData>
    <row r="1" spans="1:39" ht="15.75" customHeight="1">
      <c r="A1" s="3" t="s">
        <v>42</v>
      </c>
      <c r="B1" s="3" t="s">
        <v>43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</row>
    <row r="2" spans="1:39" ht="14.25">
      <c r="A2" s="8" t="s">
        <v>131</v>
      </c>
      <c r="B2" s="8" t="s">
        <v>132</v>
      </c>
      <c r="C2" s="8">
        <v>0</v>
      </c>
      <c r="D2" s="8">
        <f t="shared" ref="D2:AL2" si="0">C16</f>
        <v>236001</v>
      </c>
      <c r="E2" s="8">
        <f t="shared" si="0"/>
        <v>172002</v>
      </c>
      <c r="F2" s="8">
        <f t="shared" si="0"/>
        <v>108003</v>
      </c>
      <c r="G2" s="8">
        <f t="shared" si="0"/>
        <v>44004</v>
      </c>
      <c r="H2" s="8">
        <f t="shared" si="0"/>
        <v>-19995</v>
      </c>
      <c r="I2" s="8">
        <f t="shared" si="0"/>
        <v>-83994</v>
      </c>
      <c r="J2" s="8">
        <f t="shared" si="0"/>
        <v>-147993</v>
      </c>
      <c r="K2" s="8">
        <f t="shared" si="0"/>
        <v>-211992</v>
      </c>
      <c r="L2" s="8">
        <f t="shared" si="0"/>
        <v>-275991</v>
      </c>
      <c r="M2" s="8">
        <f t="shared" si="0"/>
        <v>-339990</v>
      </c>
      <c r="N2" s="8">
        <f t="shared" si="0"/>
        <v>-403989</v>
      </c>
      <c r="O2" s="8">
        <f t="shared" si="0"/>
        <v>-467988</v>
      </c>
      <c r="P2" s="8">
        <f t="shared" si="0"/>
        <v>-537988</v>
      </c>
      <c r="Q2" s="8">
        <f t="shared" si="0"/>
        <v>-520988</v>
      </c>
      <c r="R2" s="8">
        <f t="shared" si="0"/>
        <v>-291488</v>
      </c>
      <c r="S2" s="8">
        <f t="shared" si="0"/>
        <v>-61988</v>
      </c>
      <c r="T2" s="8">
        <f t="shared" si="0"/>
        <v>167512</v>
      </c>
      <c r="U2" s="8">
        <f t="shared" si="0"/>
        <v>397012</v>
      </c>
      <c r="V2" s="8">
        <f t="shared" si="0"/>
        <v>626512</v>
      </c>
      <c r="W2" s="8">
        <f t="shared" si="0"/>
        <v>856012</v>
      </c>
      <c r="X2" s="8">
        <f t="shared" si="0"/>
        <v>1085512</v>
      </c>
      <c r="Y2" s="8">
        <f t="shared" si="0"/>
        <v>1315012</v>
      </c>
      <c r="Z2" s="8">
        <f t="shared" si="0"/>
        <v>1672012</v>
      </c>
      <c r="AA2" s="8">
        <f t="shared" si="0"/>
        <v>2029012</v>
      </c>
      <c r="AB2" s="8">
        <f t="shared" si="0"/>
        <v>2564512</v>
      </c>
      <c r="AC2" s="8">
        <f t="shared" si="0"/>
        <v>3015012</v>
      </c>
      <c r="AD2" s="8">
        <f t="shared" si="0"/>
        <v>3465512</v>
      </c>
      <c r="AE2" s="8">
        <f t="shared" si="0"/>
        <v>3916012</v>
      </c>
      <c r="AF2" s="8">
        <f t="shared" si="0"/>
        <v>4366512</v>
      </c>
      <c r="AG2" s="8">
        <f t="shared" si="0"/>
        <v>4817012</v>
      </c>
      <c r="AH2" s="8">
        <f t="shared" si="0"/>
        <v>5267512</v>
      </c>
      <c r="AI2" s="8">
        <f t="shared" si="0"/>
        <v>5718012</v>
      </c>
      <c r="AJ2" s="8">
        <f t="shared" si="0"/>
        <v>6168512</v>
      </c>
      <c r="AK2" s="8">
        <f t="shared" si="0"/>
        <v>6619012</v>
      </c>
      <c r="AL2" s="8">
        <f t="shared" si="0"/>
        <v>7188512</v>
      </c>
    </row>
    <row r="3" spans="1:39" ht="12.75">
      <c r="A3" s="27" t="s">
        <v>133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9"/>
    </row>
    <row r="4" spans="1:39" ht="14.25">
      <c r="A4" s="8" t="s">
        <v>134</v>
      </c>
      <c r="B4" s="9" t="s">
        <v>135</v>
      </c>
      <c r="C4" s="8">
        <v>1000000</v>
      </c>
      <c r="D4" s="8">
        <v>0</v>
      </c>
      <c r="E4" s="8">
        <v>0</v>
      </c>
      <c r="F4" s="8">
        <v>0</v>
      </c>
      <c r="G4" s="8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</row>
    <row r="5" spans="1:39" ht="14.25">
      <c r="A5" s="8" t="s">
        <v>136</v>
      </c>
      <c r="B5" s="8" t="s">
        <v>137</v>
      </c>
      <c r="C5" s="8">
        <f>БДР!C2</f>
        <v>0</v>
      </c>
      <c r="D5" s="8">
        <f>БДР!D2</f>
        <v>0</v>
      </c>
      <c r="E5" s="8">
        <f>БДР!E2</f>
        <v>0</v>
      </c>
      <c r="F5" s="8">
        <f>БДР!F2</f>
        <v>0</v>
      </c>
      <c r="G5" s="8">
        <f>БДР!G2</f>
        <v>0</v>
      </c>
      <c r="H5" s="8">
        <f>БДР!H2</f>
        <v>0</v>
      </c>
      <c r="I5" s="8">
        <f>БДР!I2</f>
        <v>0</v>
      </c>
      <c r="J5" s="8">
        <f>БДР!J2</f>
        <v>0</v>
      </c>
      <c r="K5" s="8">
        <f>БДР!K2</f>
        <v>0</v>
      </c>
      <c r="L5" s="8">
        <f>БДР!L2</f>
        <v>0</v>
      </c>
      <c r="M5" s="8">
        <f>БДР!M2</f>
        <v>0</v>
      </c>
      <c r="N5" s="8">
        <f>БДР!N2</f>
        <v>0</v>
      </c>
      <c r="O5" s="8">
        <f>БДР!O2</f>
        <v>380000</v>
      </c>
      <c r="P5" s="8">
        <f>БДР!P2</f>
        <v>600000</v>
      </c>
      <c r="Q5" s="8">
        <f>БДР!Q2</f>
        <v>1200000</v>
      </c>
      <c r="R5" s="8">
        <f>БДР!R2</f>
        <v>1200000</v>
      </c>
      <c r="S5" s="8">
        <f>БДР!S2</f>
        <v>1200000</v>
      </c>
      <c r="T5" s="8">
        <f>БДР!T2</f>
        <v>1200000</v>
      </c>
      <c r="U5" s="8">
        <f>БДР!U2</f>
        <v>1200000</v>
      </c>
      <c r="V5" s="8">
        <f>БДР!V2</f>
        <v>1200000</v>
      </c>
      <c r="W5" s="8">
        <f>БДР!W2</f>
        <v>1200000</v>
      </c>
      <c r="X5" s="8">
        <f>БДР!X2</f>
        <v>1200000</v>
      </c>
      <c r="Y5" s="8">
        <f>БДР!Y2</f>
        <v>1600000</v>
      </c>
      <c r="Z5" s="8">
        <f>БДР!Z2</f>
        <v>1600000</v>
      </c>
      <c r="AA5" s="8">
        <f>БДР!AA2</f>
        <v>2080000.0000000002</v>
      </c>
      <c r="AB5" s="8">
        <f>БДР!AB2</f>
        <v>1880000.0000000002</v>
      </c>
      <c r="AC5" s="8">
        <f>БДР!AC2</f>
        <v>1880000.0000000002</v>
      </c>
      <c r="AD5" s="8">
        <f>БДР!AD2</f>
        <v>1880000.0000000002</v>
      </c>
      <c r="AE5" s="8">
        <f>БДР!AE2</f>
        <v>1880000.0000000002</v>
      </c>
      <c r="AF5" s="8">
        <f>БДР!AF2</f>
        <v>1880000.0000000002</v>
      </c>
      <c r="AG5" s="8">
        <f>БДР!AG2</f>
        <v>1880000.0000000002</v>
      </c>
      <c r="AH5" s="8">
        <f>БДР!AH2</f>
        <v>1880000.0000000002</v>
      </c>
      <c r="AI5" s="8">
        <f>БДР!AI2</f>
        <v>1880000.0000000002</v>
      </c>
      <c r="AJ5" s="8">
        <f>БДР!AJ2</f>
        <v>1880000.0000000002</v>
      </c>
      <c r="AK5" s="8">
        <f>БДР!AK2</f>
        <v>2200000</v>
      </c>
      <c r="AL5" s="8">
        <f>БДР!AL2</f>
        <v>2200000</v>
      </c>
      <c r="AM5" s="8">
        <f>БДР!AM2</f>
        <v>0</v>
      </c>
    </row>
    <row r="6" spans="1:39" ht="14.25">
      <c r="A6" s="8" t="s">
        <v>138</v>
      </c>
      <c r="B6" s="8" t="s">
        <v>139</v>
      </c>
      <c r="C6" s="8">
        <f t="shared" ref="C6:AL6" si="1">SUM(C4:C5)</f>
        <v>1000000</v>
      </c>
      <c r="D6" s="8">
        <f t="shared" si="1"/>
        <v>0</v>
      </c>
      <c r="E6" s="8">
        <f t="shared" si="1"/>
        <v>0</v>
      </c>
      <c r="F6" s="8">
        <f t="shared" si="1"/>
        <v>0</v>
      </c>
      <c r="G6" s="8">
        <f t="shared" si="1"/>
        <v>0</v>
      </c>
      <c r="H6" s="8">
        <f t="shared" si="1"/>
        <v>0</v>
      </c>
      <c r="I6" s="8">
        <f t="shared" si="1"/>
        <v>0</v>
      </c>
      <c r="J6" s="8">
        <f t="shared" si="1"/>
        <v>0</v>
      </c>
      <c r="K6" s="8">
        <f t="shared" si="1"/>
        <v>0</v>
      </c>
      <c r="L6" s="8">
        <f t="shared" si="1"/>
        <v>0</v>
      </c>
      <c r="M6" s="8">
        <f t="shared" si="1"/>
        <v>0</v>
      </c>
      <c r="N6" s="8">
        <f t="shared" si="1"/>
        <v>0</v>
      </c>
      <c r="O6" s="8">
        <f t="shared" si="1"/>
        <v>380000</v>
      </c>
      <c r="P6" s="8">
        <f t="shared" si="1"/>
        <v>600000</v>
      </c>
      <c r="Q6" s="8">
        <f t="shared" si="1"/>
        <v>1200000</v>
      </c>
      <c r="R6" s="8">
        <f t="shared" si="1"/>
        <v>1200000</v>
      </c>
      <c r="S6" s="8">
        <f t="shared" si="1"/>
        <v>1200000</v>
      </c>
      <c r="T6" s="8">
        <f t="shared" si="1"/>
        <v>1200000</v>
      </c>
      <c r="U6" s="8">
        <f t="shared" si="1"/>
        <v>1200000</v>
      </c>
      <c r="V6" s="8">
        <f t="shared" si="1"/>
        <v>1200000</v>
      </c>
      <c r="W6" s="8">
        <f t="shared" si="1"/>
        <v>1200000</v>
      </c>
      <c r="X6" s="8">
        <f t="shared" si="1"/>
        <v>1200000</v>
      </c>
      <c r="Y6" s="8">
        <f t="shared" si="1"/>
        <v>1600000</v>
      </c>
      <c r="Z6" s="8">
        <f t="shared" si="1"/>
        <v>1600000</v>
      </c>
      <c r="AA6" s="8">
        <f t="shared" si="1"/>
        <v>2080000.0000000002</v>
      </c>
      <c r="AB6" s="8">
        <f t="shared" si="1"/>
        <v>1880000.0000000002</v>
      </c>
      <c r="AC6" s="8">
        <f t="shared" si="1"/>
        <v>1880000.0000000002</v>
      </c>
      <c r="AD6" s="8">
        <f t="shared" si="1"/>
        <v>1880000.0000000002</v>
      </c>
      <c r="AE6" s="8">
        <f t="shared" si="1"/>
        <v>1880000.0000000002</v>
      </c>
      <c r="AF6" s="8">
        <f t="shared" si="1"/>
        <v>1880000.0000000002</v>
      </c>
      <c r="AG6" s="8">
        <f t="shared" si="1"/>
        <v>1880000.0000000002</v>
      </c>
      <c r="AH6" s="8">
        <f t="shared" si="1"/>
        <v>1880000.0000000002</v>
      </c>
      <c r="AI6" s="8">
        <f t="shared" si="1"/>
        <v>1880000.0000000002</v>
      </c>
      <c r="AJ6" s="8">
        <f t="shared" si="1"/>
        <v>1880000.0000000002</v>
      </c>
      <c r="AK6" s="8">
        <f t="shared" si="1"/>
        <v>2200000</v>
      </c>
      <c r="AL6" s="8">
        <f t="shared" si="1"/>
        <v>2200000</v>
      </c>
    </row>
    <row r="7" spans="1:39" ht="12.75">
      <c r="A7" s="27" t="s">
        <v>140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9"/>
    </row>
    <row r="8" spans="1:39" ht="14.25">
      <c r="A8" s="8" t="s">
        <v>141</v>
      </c>
      <c r="B8" s="8" t="s">
        <v>142</v>
      </c>
      <c r="C8" s="8">
        <f>Инвестиции!C5</f>
        <v>700000</v>
      </c>
      <c r="D8" s="8">
        <v>0</v>
      </c>
      <c r="E8" s="8">
        <v>0</v>
      </c>
      <c r="F8" s="8">
        <v>0</v>
      </c>
      <c r="G8" s="8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</row>
    <row r="9" spans="1:39" ht="14.25">
      <c r="A9" s="8" t="s">
        <v>143</v>
      </c>
      <c r="B9" s="8" t="s">
        <v>144</v>
      </c>
      <c r="C9" s="8">
        <f>БДР!C3</f>
        <v>0</v>
      </c>
      <c r="D9" s="8">
        <f>БДР!D3</f>
        <v>0</v>
      </c>
      <c r="E9" s="8">
        <f>БДР!E3</f>
        <v>0</v>
      </c>
      <c r="F9" s="8">
        <f>БДР!F3</f>
        <v>0</v>
      </c>
      <c r="G9" s="8">
        <f>БДР!G3</f>
        <v>0</v>
      </c>
      <c r="H9" s="8">
        <f>БДР!H3</f>
        <v>0</v>
      </c>
      <c r="I9" s="8">
        <f>БДР!I3</f>
        <v>0</v>
      </c>
      <c r="J9" s="8">
        <f>БДР!J3</f>
        <v>0</v>
      </c>
      <c r="K9" s="8">
        <f>БДР!K3</f>
        <v>0</v>
      </c>
      <c r="L9" s="8">
        <f>БДР!L3</f>
        <v>0</v>
      </c>
      <c r="M9" s="8">
        <f>БДР!M3</f>
        <v>0</v>
      </c>
      <c r="N9" s="8">
        <f>БДР!N3</f>
        <v>0</v>
      </c>
      <c r="O9" s="8">
        <f>БДР!O3</f>
        <v>220000</v>
      </c>
      <c r="P9" s="8">
        <f>БДР!P3</f>
        <v>350000</v>
      </c>
      <c r="Q9" s="8">
        <f>БДР!Q3</f>
        <v>700000</v>
      </c>
      <c r="R9" s="8">
        <f>БДР!R3</f>
        <v>700000</v>
      </c>
      <c r="S9" s="8">
        <f>БДР!S3</f>
        <v>700000</v>
      </c>
      <c r="T9" s="8">
        <f>БДР!T3</f>
        <v>700000</v>
      </c>
      <c r="U9" s="8">
        <f>БДР!U3</f>
        <v>700000</v>
      </c>
      <c r="V9" s="8">
        <f>БДР!V3</f>
        <v>700000</v>
      </c>
      <c r="W9" s="8">
        <f>БДР!W3</f>
        <v>700000</v>
      </c>
      <c r="X9" s="8">
        <f>БДР!X3</f>
        <v>700000</v>
      </c>
      <c r="Y9" s="8">
        <f>БДР!Y3</f>
        <v>950000</v>
      </c>
      <c r="Z9" s="8">
        <f>БДР!Z3</f>
        <v>950000</v>
      </c>
      <c r="AA9" s="8">
        <f>БДР!AA3</f>
        <v>1220000</v>
      </c>
      <c r="AB9" s="8">
        <f>БДР!AB3</f>
        <v>1120000</v>
      </c>
      <c r="AC9" s="8">
        <f>БДР!AC3</f>
        <v>1120000</v>
      </c>
      <c r="AD9" s="8">
        <f>БДР!AD3</f>
        <v>1120000</v>
      </c>
      <c r="AE9" s="8">
        <f>БДР!AE3</f>
        <v>1120000</v>
      </c>
      <c r="AF9" s="8">
        <f>БДР!AF3</f>
        <v>1120000</v>
      </c>
      <c r="AG9" s="8">
        <f>БДР!AG3</f>
        <v>1120000</v>
      </c>
      <c r="AH9" s="8">
        <f>БДР!AH3</f>
        <v>1120000</v>
      </c>
      <c r="AI9" s="8">
        <f>БДР!AI3</f>
        <v>1120000</v>
      </c>
      <c r="AJ9" s="8">
        <f>БДР!AJ3</f>
        <v>1120000</v>
      </c>
      <c r="AK9" s="8">
        <f>БДР!AK3</f>
        <v>1300000</v>
      </c>
      <c r="AL9" s="8">
        <f>БДР!AL3</f>
        <v>1300000</v>
      </c>
    </row>
    <row r="10" spans="1:39" ht="14.25">
      <c r="A10" s="8" t="s">
        <v>145</v>
      </c>
      <c r="B10" s="8" t="s">
        <v>146</v>
      </c>
      <c r="C10" s="8">
        <f>БДР!C6</f>
        <v>49230</v>
      </c>
      <c r="D10" s="8">
        <f>БДР!D6</f>
        <v>49230</v>
      </c>
      <c r="E10" s="8">
        <f>БДР!E6</f>
        <v>49230</v>
      </c>
      <c r="F10" s="8">
        <f>БДР!F6</f>
        <v>49230</v>
      </c>
      <c r="G10" s="8">
        <f>БДР!G6</f>
        <v>49230</v>
      </c>
      <c r="H10" s="8">
        <f>БДР!H6</f>
        <v>49230</v>
      </c>
      <c r="I10" s="8">
        <f>БДР!I6</f>
        <v>49230</v>
      </c>
      <c r="J10" s="8">
        <f>БДР!J6</f>
        <v>49230</v>
      </c>
      <c r="K10" s="8">
        <f>БДР!K6</f>
        <v>49230</v>
      </c>
      <c r="L10" s="8">
        <f>БДР!L6</f>
        <v>49230</v>
      </c>
      <c r="M10" s="8">
        <f>БДР!M6</f>
        <v>49230</v>
      </c>
      <c r="N10" s="8">
        <f>БДР!N6</f>
        <v>49230</v>
      </c>
      <c r="O10" s="8">
        <f>БДР!O6</f>
        <v>100000</v>
      </c>
      <c r="P10" s="8">
        <f>БДР!P6</f>
        <v>100000</v>
      </c>
      <c r="Q10" s="8">
        <f>БДР!Q6</f>
        <v>100000</v>
      </c>
      <c r="R10" s="8">
        <f>БДР!R6</f>
        <v>100000</v>
      </c>
      <c r="S10" s="8">
        <f>БДР!S6</f>
        <v>100000</v>
      </c>
      <c r="T10" s="8">
        <f>БДР!T6</f>
        <v>100000</v>
      </c>
      <c r="U10" s="8">
        <f>БДР!U6</f>
        <v>100000</v>
      </c>
      <c r="V10" s="8">
        <f>БДР!V6</f>
        <v>100000</v>
      </c>
      <c r="W10" s="8">
        <f>БДР!W6</f>
        <v>100000</v>
      </c>
      <c r="X10" s="8">
        <f>БДР!X6</f>
        <v>100000</v>
      </c>
      <c r="Y10" s="8">
        <f>БДР!Y6</f>
        <v>100000</v>
      </c>
      <c r="Z10" s="8">
        <f>БДР!Z6</f>
        <v>100000</v>
      </c>
      <c r="AA10" s="8">
        <f>БДР!AA6</f>
        <v>100000</v>
      </c>
      <c r="AB10" s="8">
        <f>БДР!AB6</f>
        <v>100000</v>
      </c>
      <c r="AC10" s="8">
        <f>БДР!AC6</f>
        <v>100000</v>
      </c>
      <c r="AD10" s="8">
        <f>БДР!AD6</f>
        <v>100000</v>
      </c>
      <c r="AE10" s="8">
        <f>БДР!AE6</f>
        <v>100000</v>
      </c>
      <c r="AF10" s="8">
        <f>БДР!AF6</f>
        <v>100000</v>
      </c>
      <c r="AG10" s="8">
        <f>БДР!AG6</f>
        <v>100000</v>
      </c>
      <c r="AH10" s="8">
        <f>БДР!AH6</f>
        <v>100000</v>
      </c>
      <c r="AI10" s="8">
        <f>БДР!AI6</f>
        <v>100000</v>
      </c>
      <c r="AJ10" s="8">
        <f>БДР!AJ6</f>
        <v>100000</v>
      </c>
      <c r="AK10" s="8">
        <f>БДР!AK6</f>
        <v>100000</v>
      </c>
      <c r="AL10" s="8">
        <f>БДР!AL6</f>
        <v>100000</v>
      </c>
    </row>
    <row r="11" spans="1:39" ht="14.25">
      <c r="A11" s="8" t="s">
        <v>147</v>
      </c>
      <c r="B11" s="8" t="s">
        <v>148</v>
      </c>
      <c r="C11" s="8">
        <f>БДР!C7</f>
        <v>14769</v>
      </c>
      <c r="D11" s="8">
        <f>БДР!D7</f>
        <v>14769</v>
      </c>
      <c r="E11" s="8">
        <f>БДР!E7</f>
        <v>14769</v>
      </c>
      <c r="F11" s="8">
        <f>БДР!F7</f>
        <v>14769</v>
      </c>
      <c r="G11" s="8">
        <f>БДР!G7</f>
        <v>14769</v>
      </c>
      <c r="H11" s="8">
        <f>БДР!H7</f>
        <v>14769</v>
      </c>
      <c r="I11" s="8">
        <f>БДР!I7</f>
        <v>14769</v>
      </c>
      <c r="J11" s="8">
        <f>БДР!J7</f>
        <v>14769</v>
      </c>
      <c r="K11" s="8">
        <f>БДР!K7</f>
        <v>14769</v>
      </c>
      <c r="L11" s="8">
        <f>БДР!L7</f>
        <v>14769</v>
      </c>
      <c r="M11" s="8">
        <f>БДР!M7</f>
        <v>14769</v>
      </c>
      <c r="N11" s="8">
        <f>БДР!N7</f>
        <v>14769</v>
      </c>
      <c r="O11" s="8">
        <f>БДР!O7</f>
        <v>30000</v>
      </c>
      <c r="P11" s="8">
        <f>БДР!P7</f>
        <v>30000</v>
      </c>
      <c r="Q11" s="8">
        <f>БДР!Q7</f>
        <v>30000</v>
      </c>
      <c r="R11" s="8">
        <f>БДР!R7</f>
        <v>30000</v>
      </c>
      <c r="S11" s="8">
        <f>БДР!S7</f>
        <v>30000</v>
      </c>
      <c r="T11" s="8">
        <f>БДР!T7</f>
        <v>30000</v>
      </c>
      <c r="U11" s="8">
        <f>БДР!U7</f>
        <v>30000</v>
      </c>
      <c r="V11" s="8">
        <f>БДР!V7</f>
        <v>30000</v>
      </c>
      <c r="W11" s="8">
        <f>БДР!W7</f>
        <v>30000</v>
      </c>
      <c r="X11" s="8">
        <f>БДР!X7</f>
        <v>30000</v>
      </c>
      <c r="Y11" s="8">
        <f>БДР!Y7</f>
        <v>30000</v>
      </c>
      <c r="Z11" s="8">
        <f>БДР!Z7</f>
        <v>30000</v>
      </c>
      <c r="AA11" s="8">
        <f>БДР!AA7</f>
        <v>30000</v>
      </c>
      <c r="AB11" s="8">
        <f>БДР!AB7</f>
        <v>30000</v>
      </c>
      <c r="AC11" s="8">
        <f>БДР!AC7</f>
        <v>30000</v>
      </c>
      <c r="AD11" s="8">
        <f>БДР!AD7</f>
        <v>30000</v>
      </c>
      <c r="AE11" s="8">
        <f>БДР!AE7</f>
        <v>30000</v>
      </c>
      <c r="AF11" s="8">
        <f>БДР!AF7</f>
        <v>30000</v>
      </c>
      <c r="AG11" s="8">
        <f>БДР!AG7</f>
        <v>30000</v>
      </c>
      <c r="AH11" s="8">
        <f>БДР!AH7</f>
        <v>30000</v>
      </c>
      <c r="AI11" s="8">
        <f>БДР!AI7</f>
        <v>30000</v>
      </c>
      <c r="AJ11" s="8">
        <f>БДР!AJ7</f>
        <v>30000</v>
      </c>
      <c r="AK11" s="8">
        <f>БДР!AK7</f>
        <v>30000</v>
      </c>
      <c r="AL11" s="8">
        <f>БДР!AL7</f>
        <v>30000</v>
      </c>
    </row>
    <row r="12" spans="1:39" ht="14.25">
      <c r="A12" s="8" t="s">
        <v>149</v>
      </c>
      <c r="B12" s="8" t="s">
        <v>150</v>
      </c>
      <c r="C12" s="8">
        <f>БДР!C8+БДР!C9+БДР!C10</f>
        <v>0</v>
      </c>
      <c r="D12" s="8">
        <f>БДР!D8+БДР!D9+БДР!D10</f>
        <v>0</v>
      </c>
      <c r="E12" s="8">
        <f>БДР!E8+БДР!E9+БДР!E10</f>
        <v>0</v>
      </c>
      <c r="F12" s="8">
        <f>БДР!F8+БДР!F9+БДР!F10</f>
        <v>0</v>
      </c>
      <c r="G12" s="8">
        <f>БДР!G8+БДР!G9+БДР!G10</f>
        <v>0</v>
      </c>
      <c r="H12" s="8">
        <f>БДР!H8+БДР!H9+БДР!H10</f>
        <v>0</v>
      </c>
      <c r="I12" s="8">
        <f>БДР!I8+БДР!I9+БДР!I10</f>
        <v>0</v>
      </c>
      <c r="J12" s="8">
        <f>БДР!J8+БДР!J9+БДР!J10</f>
        <v>0</v>
      </c>
      <c r="K12" s="8">
        <f>БДР!K8+БДР!K9+БДР!K10</f>
        <v>0</v>
      </c>
      <c r="L12" s="8">
        <f>БДР!L8+БДР!L9+БДР!L10</f>
        <v>0</v>
      </c>
      <c r="M12" s="8">
        <f>БДР!M8+БДР!M9+БДР!M10</f>
        <v>0</v>
      </c>
      <c r="N12" s="8">
        <f>БДР!N8+БДР!N9+БДР!N10</f>
        <v>0</v>
      </c>
      <c r="O12" s="8">
        <f>БДР!O8+БДР!O9+БДР!O10</f>
        <v>100000</v>
      </c>
      <c r="P12" s="8">
        <f>БДР!P8+БДР!P9+БДР!P10</f>
        <v>100000</v>
      </c>
      <c r="Q12" s="8">
        <f>БДР!Q8+БДР!Q9+БДР!Q10</f>
        <v>100000</v>
      </c>
      <c r="R12" s="8">
        <f>БДР!R8+БДР!R9+БДР!R10</f>
        <v>100000</v>
      </c>
      <c r="S12" s="8">
        <f>БДР!S8+БДР!S9+БДР!S10</f>
        <v>100000</v>
      </c>
      <c r="T12" s="8">
        <f>БДР!T8+БДР!T9+БДР!T10</f>
        <v>100000</v>
      </c>
      <c r="U12" s="8">
        <f>БДР!U8+БДР!U9+БДР!U10</f>
        <v>100000</v>
      </c>
      <c r="V12" s="8">
        <f>БДР!V8+БДР!V9+БДР!V10</f>
        <v>100000</v>
      </c>
      <c r="W12" s="8">
        <f>БДР!W8+БДР!W9+БДР!W10</f>
        <v>100000</v>
      </c>
      <c r="X12" s="8">
        <f>БДР!X8+БДР!X9+БДР!X10</f>
        <v>100000</v>
      </c>
      <c r="Y12" s="8">
        <f>БДР!Y8+БДР!Y9+БДР!Y10</f>
        <v>100000</v>
      </c>
      <c r="Z12" s="8">
        <f>БДР!Z8+БДР!Z9+БДР!Z10</f>
        <v>100000</v>
      </c>
      <c r="AA12" s="8">
        <f>БДР!AA8+БДР!AA9+БДР!AA10</f>
        <v>100000</v>
      </c>
      <c r="AB12" s="8">
        <f>БДР!AB8+БДР!AB9+БДР!AB10</f>
        <v>100000</v>
      </c>
      <c r="AC12" s="8">
        <f>БДР!AC8+БДР!AC9+БДР!AC10</f>
        <v>100000</v>
      </c>
      <c r="AD12" s="8">
        <f>БДР!AD8+БДР!AD9+БДР!AD10</f>
        <v>100000</v>
      </c>
      <c r="AE12" s="8">
        <f>БДР!AE8+БДР!AE9+БДР!AE10</f>
        <v>100000</v>
      </c>
      <c r="AF12" s="8">
        <f>БДР!AF8+БДР!AF9+БДР!AF10</f>
        <v>100000</v>
      </c>
      <c r="AG12" s="8">
        <f>БДР!AG8+БДР!AG9+БДР!AG10</f>
        <v>100000</v>
      </c>
      <c r="AH12" s="8">
        <f>БДР!AH8+БДР!AH9+БДР!AH10</f>
        <v>100000</v>
      </c>
      <c r="AI12" s="8">
        <f>БДР!AI8+БДР!AI9+БДР!AI10</f>
        <v>100000</v>
      </c>
      <c r="AJ12" s="8">
        <f>БДР!AJ8+БДР!AJ9+БДР!AJ10</f>
        <v>100000</v>
      </c>
      <c r="AK12" s="8">
        <f>БДР!AK8+БДР!AK9+БДР!AK10</f>
        <v>100000</v>
      </c>
      <c r="AL12" s="8">
        <f>БДР!AL8+БДР!AL9+БДР!AL10</f>
        <v>100000</v>
      </c>
    </row>
    <row r="13" spans="1:39" ht="14.25">
      <c r="A13" s="8" t="s">
        <v>151</v>
      </c>
      <c r="B13" s="8" t="s">
        <v>152</v>
      </c>
      <c r="C13" s="8">
        <f>БДР!C13</f>
        <v>0</v>
      </c>
      <c r="D13" s="8">
        <f>БДР!D13</f>
        <v>0</v>
      </c>
      <c r="E13" s="8">
        <f>БДР!E13</f>
        <v>0</v>
      </c>
      <c r="F13" s="8">
        <f>БДР!F13</f>
        <v>0</v>
      </c>
      <c r="G13" s="8">
        <f>БДР!G13</f>
        <v>0</v>
      </c>
      <c r="H13" s="8">
        <f>БДР!H13</f>
        <v>0</v>
      </c>
      <c r="I13" s="8">
        <f>БДР!I13</f>
        <v>0</v>
      </c>
      <c r="J13" s="8">
        <f>БДР!J13</f>
        <v>0</v>
      </c>
      <c r="K13" s="8">
        <f>БДР!K13</f>
        <v>0</v>
      </c>
      <c r="L13" s="8">
        <f>БДР!L13</f>
        <v>0</v>
      </c>
      <c r="M13" s="8">
        <f>БДР!M13</f>
        <v>0</v>
      </c>
      <c r="N13" s="8">
        <f>БДР!N13</f>
        <v>0</v>
      </c>
      <c r="O13" s="8">
        <f>БДР!O13</f>
        <v>0</v>
      </c>
      <c r="P13" s="8">
        <f>БДР!P13</f>
        <v>3000</v>
      </c>
      <c r="Q13" s="8">
        <f>БДР!Q13</f>
        <v>40500</v>
      </c>
      <c r="R13" s="8">
        <f>БДР!R13</f>
        <v>40500</v>
      </c>
      <c r="S13" s="8">
        <f>БДР!S13</f>
        <v>40500</v>
      </c>
      <c r="T13" s="8">
        <f>БДР!T13</f>
        <v>40500</v>
      </c>
      <c r="U13" s="8">
        <f>БДР!U13</f>
        <v>40500</v>
      </c>
      <c r="V13" s="8">
        <f>БДР!V13</f>
        <v>40500</v>
      </c>
      <c r="W13" s="8">
        <f>БДР!W13</f>
        <v>40500</v>
      </c>
      <c r="X13" s="8">
        <f>БДР!X13</f>
        <v>40500</v>
      </c>
      <c r="Y13" s="8">
        <f>БДР!Y13</f>
        <v>63000</v>
      </c>
      <c r="Z13" s="8">
        <f>БДР!Z13</f>
        <v>63000</v>
      </c>
      <c r="AA13" s="8">
        <f>БДР!AA13</f>
        <v>94500.000000000029</v>
      </c>
      <c r="AB13" s="8">
        <f>БДР!AB13</f>
        <v>79500.000000000029</v>
      </c>
      <c r="AC13" s="8">
        <f>БДР!AC13</f>
        <v>79500.000000000029</v>
      </c>
      <c r="AD13" s="8">
        <f>БДР!AD13</f>
        <v>79500.000000000029</v>
      </c>
      <c r="AE13" s="8">
        <f>БДР!AE13</f>
        <v>79500.000000000029</v>
      </c>
      <c r="AF13" s="8">
        <f>БДР!AF13</f>
        <v>79500.000000000029</v>
      </c>
      <c r="AG13" s="8">
        <f>БДР!AG13</f>
        <v>79500.000000000029</v>
      </c>
      <c r="AH13" s="8">
        <f>БДР!AH13</f>
        <v>79500.000000000029</v>
      </c>
      <c r="AI13" s="8">
        <f>БДР!AI13</f>
        <v>79500.000000000029</v>
      </c>
      <c r="AJ13" s="8">
        <f>БДР!AJ13</f>
        <v>79500.000000000029</v>
      </c>
      <c r="AK13" s="8">
        <f>БДР!AK13</f>
        <v>100500</v>
      </c>
      <c r="AL13" s="8">
        <f>БДР!AL13</f>
        <v>100500</v>
      </c>
    </row>
    <row r="14" spans="1:39" ht="14.25">
      <c r="A14" s="8" t="s">
        <v>153</v>
      </c>
      <c r="B14" s="8" t="s">
        <v>154</v>
      </c>
      <c r="C14" s="8">
        <f t="shared" ref="C14:AL14" si="2">SUM(C8:C13)</f>
        <v>763999</v>
      </c>
      <c r="D14" s="8">
        <f t="shared" si="2"/>
        <v>63999</v>
      </c>
      <c r="E14" s="8">
        <f t="shared" si="2"/>
        <v>63999</v>
      </c>
      <c r="F14" s="8">
        <f t="shared" si="2"/>
        <v>63999</v>
      </c>
      <c r="G14" s="8">
        <f t="shared" si="2"/>
        <v>63999</v>
      </c>
      <c r="H14" s="8">
        <f t="shared" si="2"/>
        <v>63999</v>
      </c>
      <c r="I14" s="8">
        <f t="shared" si="2"/>
        <v>63999</v>
      </c>
      <c r="J14" s="8">
        <f t="shared" si="2"/>
        <v>63999</v>
      </c>
      <c r="K14" s="8">
        <f t="shared" si="2"/>
        <v>63999</v>
      </c>
      <c r="L14" s="8">
        <f t="shared" si="2"/>
        <v>63999</v>
      </c>
      <c r="M14" s="8">
        <f t="shared" si="2"/>
        <v>63999</v>
      </c>
      <c r="N14" s="8">
        <f t="shared" si="2"/>
        <v>63999</v>
      </c>
      <c r="O14" s="8">
        <f t="shared" si="2"/>
        <v>450000</v>
      </c>
      <c r="P14" s="8">
        <f t="shared" si="2"/>
        <v>583000</v>
      </c>
      <c r="Q14" s="8">
        <f t="shared" si="2"/>
        <v>970500</v>
      </c>
      <c r="R14" s="8">
        <f t="shared" si="2"/>
        <v>970500</v>
      </c>
      <c r="S14" s="8">
        <f t="shared" si="2"/>
        <v>970500</v>
      </c>
      <c r="T14" s="8">
        <f t="shared" si="2"/>
        <v>970500</v>
      </c>
      <c r="U14" s="8">
        <f t="shared" si="2"/>
        <v>970500</v>
      </c>
      <c r="V14" s="8">
        <f t="shared" si="2"/>
        <v>970500</v>
      </c>
      <c r="W14" s="8">
        <f t="shared" si="2"/>
        <v>970500</v>
      </c>
      <c r="X14" s="8">
        <f t="shared" si="2"/>
        <v>970500</v>
      </c>
      <c r="Y14" s="8">
        <f t="shared" si="2"/>
        <v>1243000</v>
      </c>
      <c r="Z14" s="8">
        <f t="shared" si="2"/>
        <v>1243000</v>
      </c>
      <c r="AA14" s="8">
        <f t="shared" si="2"/>
        <v>1544500</v>
      </c>
      <c r="AB14" s="8">
        <f t="shared" si="2"/>
        <v>1429500</v>
      </c>
      <c r="AC14" s="8">
        <f t="shared" si="2"/>
        <v>1429500</v>
      </c>
      <c r="AD14" s="8">
        <f t="shared" si="2"/>
        <v>1429500</v>
      </c>
      <c r="AE14" s="8">
        <f t="shared" si="2"/>
        <v>1429500</v>
      </c>
      <c r="AF14" s="8">
        <f t="shared" si="2"/>
        <v>1429500</v>
      </c>
      <c r="AG14" s="8">
        <f t="shared" si="2"/>
        <v>1429500</v>
      </c>
      <c r="AH14" s="8">
        <f t="shared" si="2"/>
        <v>1429500</v>
      </c>
      <c r="AI14" s="8">
        <f t="shared" si="2"/>
        <v>1429500</v>
      </c>
      <c r="AJ14" s="8">
        <f t="shared" si="2"/>
        <v>1429500</v>
      </c>
      <c r="AK14" s="8">
        <f t="shared" si="2"/>
        <v>1630500</v>
      </c>
      <c r="AL14" s="8">
        <f t="shared" si="2"/>
        <v>1630500</v>
      </c>
    </row>
    <row r="15" spans="1:39" ht="28.5">
      <c r="A15" s="8" t="s">
        <v>155</v>
      </c>
      <c r="B15" s="8" t="s">
        <v>156</v>
      </c>
      <c r="C15" s="8">
        <f t="shared" ref="C15:AL15" si="3">C6-C14</f>
        <v>236001</v>
      </c>
      <c r="D15" s="8">
        <f t="shared" si="3"/>
        <v>-63999</v>
      </c>
      <c r="E15" s="8">
        <f t="shared" si="3"/>
        <v>-63999</v>
      </c>
      <c r="F15" s="8">
        <f t="shared" si="3"/>
        <v>-63999</v>
      </c>
      <c r="G15" s="8">
        <f t="shared" si="3"/>
        <v>-63999</v>
      </c>
      <c r="H15" s="8">
        <f t="shared" si="3"/>
        <v>-63999</v>
      </c>
      <c r="I15" s="8">
        <f t="shared" si="3"/>
        <v>-63999</v>
      </c>
      <c r="J15" s="8">
        <f t="shared" si="3"/>
        <v>-63999</v>
      </c>
      <c r="K15" s="8">
        <f t="shared" si="3"/>
        <v>-63999</v>
      </c>
      <c r="L15" s="8">
        <f t="shared" si="3"/>
        <v>-63999</v>
      </c>
      <c r="M15" s="8">
        <f t="shared" si="3"/>
        <v>-63999</v>
      </c>
      <c r="N15" s="8">
        <f t="shared" si="3"/>
        <v>-63999</v>
      </c>
      <c r="O15" s="8">
        <f t="shared" si="3"/>
        <v>-70000</v>
      </c>
      <c r="P15" s="8">
        <f t="shared" si="3"/>
        <v>17000</v>
      </c>
      <c r="Q15" s="8">
        <f t="shared" si="3"/>
        <v>229500</v>
      </c>
      <c r="R15" s="8">
        <f t="shared" si="3"/>
        <v>229500</v>
      </c>
      <c r="S15" s="8">
        <f t="shared" si="3"/>
        <v>229500</v>
      </c>
      <c r="T15" s="8">
        <f t="shared" si="3"/>
        <v>229500</v>
      </c>
      <c r="U15" s="8">
        <f t="shared" si="3"/>
        <v>229500</v>
      </c>
      <c r="V15" s="8">
        <f t="shared" si="3"/>
        <v>229500</v>
      </c>
      <c r="W15" s="8">
        <f t="shared" si="3"/>
        <v>229500</v>
      </c>
      <c r="X15" s="8">
        <f t="shared" si="3"/>
        <v>229500</v>
      </c>
      <c r="Y15" s="8">
        <f t="shared" si="3"/>
        <v>357000</v>
      </c>
      <c r="Z15" s="8">
        <f t="shared" si="3"/>
        <v>357000</v>
      </c>
      <c r="AA15" s="8">
        <f t="shared" si="3"/>
        <v>535500.00000000023</v>
      </c>
      <c r="AB15" s="8">
        <f t="shared" si="3"/>
        <v>450500.00000000023</v>
      </c>
      <c r="AC15" s="8">
        <f t="shared" si="3"/>
        <v>450500.00000000023</v>
      </c>
      <c r="AD15" s="8">
        <f t="shared" si="3"/>
        <v>450500.00000000023</v>
      </c>
      <c r="AE15" s="8">
        <f t="shared" si="3"/>
        <v>450500.00000000023</v>
      </c>
      <c r="AF15" s="8">
        <f t="shared" si="3"/>
        <v>450500.00000000023</v>
      </c>
      <c r="AG15" s="8">
        <f t="shared" si="3"/>
        <v>450500.00000000023</v>
      </c>
      <c r="AH15" s="8">
        <f t="shared" si="3"/>
        <v>450500.00000000023</v>
      </c>
      <c r="AI15" s="8">
        <f t="shared" si="3"/>
        <v>450500.00000000023</v>
      </c>
      <c r="AJ15" s="8">
        <f t="shared" si="3"/>
        <v>450500.00000000023</v>
      </c>
      <c r="AK15" s="8">
        <f t="shared" si="3"/>
        <v>569500</v>
      </c>
      <c r="AL15" s="8">
        <f t="shared" si="3"/>
        <v>569500</v>
      </c>
    </row>
    <row r="16" spans="1:39" ht="14.25">
      <c r="A16" s="8" t="s">
        <v>157</v>
      </c>
      <c r="B16" s="8" t="s">
        <v>158</v>
      </c>
      <c r="C16" s="8">
        <f t="shared" ref="C16:AL16" si="4">C2+C15</f>
        <v>236001</v>
      </c>
      <c r="D16" s="8">
        <f t="shared" si="4"/>
        <v>172002</v>
      </c>
      <c r="E16" s="8">
        <f t="shared" si="4"/>
        <v>108003</v>
      </c>
      <c r="F16" s="8">
        <f t="shared" si="4"/>
        <v>44004</v>
      </c>
      <c r="G16" s="8">
        <f t="shared" si="4"/>
        <v>-19995</v>
      </c>
      <c r="H16" s="8">
        <f t="shared" si="4"/>
        <v>-83994</v>
      </c>
      <c r="I16" s="8">
        <f t="shared" si="4"/>
        <v>-147993</v>
      </c>
      <c r="J16" s="8">
        <f t="shared" si="4"/>
        <v>-211992</v>
      </c>
      <c r="K16" s="8">
        <f t="shared" si="4"/>
        <v>-275991</v>
      </c>
      <c r="L16" s="8">
        <f t="shared" si="4"/>
        <v>-339990</v>
      </c>
      <c r="M16" s="8">
        <f t="shared" si="4"/>
        <v>-403989</v>
      </c>
      <c r="N16" s="8">
        <f t="shared" si="4"/>
        <v>-467988</v>
      </c>
      <c r="O16" s="8">
        <f t="shared" si="4"/>
        <v>-537988</v>
      </c>
      <c r="P16" s="8">
        <f t="shared" si="4"/>
        <v>-520988</v>
      </c>
      <c r="Q16" s="8">
        <f t="shared" si="4"/>
        <v>-291488</v>
      </c>
      <c r="R16" s="8">
        <f t="shared" si="4"/>
        <v>-61988</v>
      </c>
      <c r="S16" s="8">
        <f t="shared" si="4"/>
        <v>167512</v>
      </c>
      <c r="T16" s="8">
        <f t="shared" si="4"/>
        <v>397012</v>
      </c>
      <c r="U16" s="8">
        <f t="shared" si="4"/>
        <v>626512</v>
      </c>
      <c r="V16" s="8">
        <f t="shared" si="4"/>
        <v>856012</v>
      </c>
      <c r="W16" s="8">
        <f t="shared" si="4"/>
        <v>1085512</v>
      </c>
      <c r="X16" s="8">
        <f t="shared" si="4"/>
        <v>1315012</v>
      </c>
      <c r="Y16" s="8">
        <f t="shared" si="4"/>
        <v>1672012</v>
      </c>
      <c r="Z16" s="8">
        <f t="shared" si="4"/>
        <v>2029012</v>
      </c>
      <c r="AA16" s="8">
        <f t="shared" si="4"/>
        <v>2564512</v>
      </c>
      <c r="AB16" s="8">
        <f t="shared" si="4"/>
        <v>3015012</v>
      </c>
      <c r="AC16" s="8">
        <f t="shared" si="4"/>
        <v>3465512</v>
      </c>
      <c r="AD16" s="8">
        <f t="shared" si="4"/>
        <v>3916012</v>
      </c>
      <c r="AE16" s="8">
        <f t="shared" si="4"/>
        <v>4366512</v>
      </c>
      <c r="AF16" s="8">
        <f t="shared" si="4"/>
        <v>4817012</v>
      </c>
      <c r="AG16" s="8">
        <f t="shared" si="4"/>
        <v>5267512</v>
      </c>
      <c r="AH16" s="8">
        <f t="shared" si="4"/>
        <v>5718012</v>
      </c>
      <c r="AI16" s="8">
        <f t="shared" si="4"/>
        <v>6168512</v>
      </c>
      <c r="AJ16" s="8">
        <f t="shared" si="4"/>
        <v>6619012</v>
      </c>
      <c r="AK16" s="8">
        <f t="shared" si="4"/>
        <v>7188512</v>
      </c>
      <c r="AL16" s="8">
        <f t="shared" si="4"/>
        <v>7758012</v>
      </c>
    </row>
  </sheetData>
  <mergeCells count="2">
    <mergeCell ref="A3:AL3"/>
    <mergeCell ref="A7:AL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L30"/>
  <sheetViews>
    <sheetView workbookViewId="0">
      <selection activeCell="O30" sqref="O30"/>
    </sheetView>
  </sheetViews>
  <sheetFormatPr defaultColWidth="12.5703125" defaultRowHeight="15.75" customHeight="1"/>
  <cols>
    <col min="1" max="1" width="43.5703125" customWidth="1"/>
    <col min="2" max="2" width="35.28515625" customWidth="1"/>
  </cols>
  <sheetData>
    <row r="1" spans="1:38">
      <c r="A1" s="14" t="s">
        <v>44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>
      <c r="A2" s="14" t="s">
        <v>42</v>
      </c>
      <c r="B2" s="14" t="s">
        <v>43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4" t="s">
        <v>22</v>
      </c>
      <c r="X2" s="14" t="s">
        <v>23</v>
      </c>
      <c r="Y2" s="14" t="s">
        <v>24</v>
      </c>
      <c r="Z2" s="14" t="s">
        <v>25</v>
      </c>
      <c r="AA2" s="14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4" t="s">
        <v>34</v>
      </c>
      <c r="AJ2" s="14" t="s">
        <v>35</v>
      </c>
      <c r="AK2" s="14" t="s">
        <v>36</v>
      </c>
      <c r="AL2" s="14" t="s">
        <v>37</v>
      </c>
    </row>
    <row r="3" spans="1:38">
      <c r="A3" s="14" t="s">
        <v>159</v>
      </c>
      <c r="B3" s="14" t="s">
        <v>160</v>
      </c>
      <c r="C3" s="14">
        <f>Доходы!C4</f>
        <v>20000</v>
      </c>
      <c r="D3" s="14">
        <f>Доходы!D4</f>
        <v>20000</v>
      </c>
      <c r="E3" s="14">
        <f>Доходы!E4</f>
        <v>20000</v>
      </c>
      <c r="F3" s="14">
        <f>Доходы!F4</f>
        <v>20000</v>
      </c>
      <c r="G3" s="14">
        <f>Доходы!G4</f>
        <v>20000</v>
      </c>
      <c r="H3" s="14">
        <f>Доходы!H4</f>
        <v>20000</v>
      </c>
      <c r="I3" s="14">
        <f>Доходы!I4</f>
        <v>20000</v>
      </c>
      <c r="J3" s="14">
        <f>Доходы!J4</f>
        <v>20000</v>
      </c>
      <c r="K3" s="14">
        <f>Доходы!K4</f>
        <v>20000</v>
      </c>
      <c r="L3" s="14">
        <f>Доходы!L4</f>
        <v>20000</v>
      </c>
      <c r="M3" s="14">
        <f>Доходы!M4</f>
        <v>20000</v>
      </c>
      <c r="N3" s="14">
        <f>Доходы!N4</f>
        <v>20000</v>
      </c>
      <c r="O3" s="14">
        <f>Доходы!O4</f>
        <v>20000</v>
      </c>
      <c r="P3" s="14">
        <f>Доходы!P4</f>
        <v>20000</v>
      </c>
      <c r="Q3" s="14">
        <f>Доходы!Q4</f>
        <v>20000</v>
      </c>
      <c r="R3" s="14">
        <f>Доходы!R4</f>
        <v>20000</v>
      </c>
      <c r="S3" s="14">
        <f>Доходы!S4</f>
        <v>20000</v>
      </c>
      <c r="T3" s="14">
        <f>Доходы!T4</f>
        <v>20000</v>
      </c>
      <c r="U3" s="14">
        <f>Доходы!U4</f>
        <v>20000</v>
      </c>
      <c r="V3" s="14">
        <f>Доходы!V4</f>
        <v>20000</v>
      </c>
      <c r="W3" s="14">
        <f>Доходы!W4</f>
        <v>20000</v>
      </c>
      <c r="X3" s="14">
        <f>Доходы!X4</f>
        <v>20000</v>
      </c>
      <c r="Y3" s="14">
        <f>Доходы!Y4</f>
        <v>20000</v>
      </c>
      <c r="Z3" s="14">
        <f>Доходы!Z4</f>
        <v>20000</v>
      </c>
      <c r="AA3" s="14">
        <f>Доходы!AA4</f>
        <v>20000</v>
      </c>
      <c r="AB3" s="14">
        <f>Доходы!AB4</f>
        <v>20000</v>
      </c>
      <c r="AC3" s="14">
        <f>Доходы!AC4</f>
        <v>20000</v>
      </c>
      <c r="AD3" s="14">
        <f>Доходы!AD4</f>
        <v>20000</v>
      </c>
      <c r="AE3" s="14">
        <f>Доходы!AE4</f>
        <v>20000</v>
      </c>
      <c r="AF3" s="14">
        <f>Доходы!AF4</f>
        <v>20000</v>
      </c>
      <c r="AG3" s="14">
        <f>Доходы!AG4</f>
        <v>20000</v>
      </c>
      <c r="AH3" s="14">
        <f>Доходы!AH4</f>
        <v>20000</v>
      </c>
      <c r="AI3" s="14">
        <f>Доходы!AI4</f>
        <v>20000</v>
      </c>
      <c r="AJ3" s="14">
        <f>Доходы!AJ4</f>
        <v>20000</v>
      </c>
      <c r="AK3" s="14">
        <f>Доходы!AK4</f>
        <v>20000</v>
      </c>
      <c r="AL3" s="14">
        <f>Доходы!AL4</f>
        <v>20000</v>
      </c>
    </row>
    <row r="4" spans="1:38">
      <c r="A4" s="14" t="s">
        <v>161</v>
      </c>
      <c r="B4" s="14" t="s">
        <v>162</v>
      </c>
      <c r="C4" s="14">
        <f>Расходы!C8</f>
        <v>10000</v>
      </c>
      <c r="D4" s="14">
        <f>Расходы!D8</f>
        <v>10000</v>
      </c>
      <c r="E4" s="14">
        <f>Расходы!E8</f>
        <v>10000</v>
      </c>
      <c r="F4" s="14">
        <f>Расходы!F8</f>
        <v>10000</v>
      </c>
      <c r="G4" s="14">
        <f>Расходы!G8</f>
        <v>10000</v>
      </c>
      <c r="H4" s="14">
        <f>Расходы!H8</f>
        <v>10000</v>
      </c>
      <c r="I4" s="14">
        <f>Расходы!I8</f>
        <v>10000</v>
      </c>
      <c r="J4" s="14">
        <f>Расходы!J8</f>
        <v>10000</v>
      </c>
      <c r="K4" s="14">
        <f>Расходы!K8</f>
        <v>10000</v>
      </c>
      <c r="L4" s="14">
        <f>Расходы!L8</f>
        <v>10000</v>
      </c>
      <c r="M4" s="14">
        <f>Расходы!M8</f>
        <v>10000</v>
      </c>
      <c r="N4" s="14">
        <f>Расходы!N8</f>
        <v>10000</v>
      </c>
      <c r="O4" s="14">
        <f>Расходы!O8</f>
        <v>10000</v>
      </c>
      <c r="P4" s="14">
        <f>Расходы!P8</f>
        <v>10000</v>
      </c>
      <c r="Q4" s="14">
        <f>Расходы!Q8</f>
        <v>10000</v>
      </c>
      <c r="R4" s="14">
        <f>Расходы!R8</f>
        <v>10000</v>
      </c>
      <c r="S4" s="14">
        <f>Расходы!S8</f>
        <v>10000</v>
      </c>
      <c r="T4" s="14">
        <f>Расходы!T8</f>
        <v>10000</v>
      </c>
      <c r="U4" s="14">
        <f>Расходы!U8</f>
        <v>10000</v>
      </c>
      <c r="V4" s="14">
        <f>Расходы!V8</f>
        <v>10000</v>
      </c>
      <c r="W4" s="14">
        <f>Расходы!W8</f>
        <v>10000</v>
      </c>
      <c r="X4" s="14">
        <f>Расходы!X8</f>
        <v>10000</v>
      </c>
      <c r="Y4" s="14">
        <f>Расходы!Y8</f>
        <v>10000</v>
      </c>
      <c r="Z4" s="14">
        <f>Расходы!Z8</f>
        <v>10000</v>
      </c>
      <c r="AA4" s="14">
        <f>Расходы!AA8</f>
        <v>10000</v>
      </c>
      <c r="AB4" s="14">
        <f>Расходы!AB8</f>
        <v>10000</v>
      </c>
      <c r="AC4" s="14">
        <f>Расходы!AC8</f>
        <v>10000</v>
      </c>
      <c r="AD4" s="14">
        <f>Расходы!AD8</f>
        <v>10000</v>
      </c>
      <c r="AE4" s="14">
        <f>Расходы!AE8</f>
        <v>10000</v>
      </c>
      <c r="AF4" s="14">
        <f>Расходы!AF8</f>
        <v>10000</v>
      </c>
      <c r="AG4" s="14">
        <f>Расходы!AG8</f>
        <v>10000</v>
      </c>
      <c r="AH4" s="14">
        <f>Расходы!AH8</f>
        <v>10000</v>
      </c>
      <c r="AI4" s="14">
        <f>Расходы!AI8</f>
        <v>10000</v>
      </c>
      <c r="AJ4" s="14">
        <f>Расходы!AJ8</f>
        <v>10000</v>
      </c>
      <c r="AK4" s="14">
        <f>Расходы!AK8</f>
        <v>10000</v>
      </c>
      <c r="AL4" s="14">
        <f>Расходы!AL8</f>
        <v>10000</v>
      </c>
    </row>
    <row r="5" spans="1:38">
      <c r="A5" s="14" t="s">
        <v>163</v>
      </c>
      <c r="B5" s="14" t="s">
        <v>164</v>
      </c>
      <c r="C5" s="14">
        <f t="shared" ref="C5:AL5" si="0">C3-C4</f>
        <v>10000</v>
      </c>
      <c r="D5" s="14">
        <f t="shared" si="0"/>
        <v>10000</v>
      </c>
      <c r="E5" s="14">
        <f t="shared" si="0"/>
        <v>10000</v>
      </c>
      <c r="F5" s="14">
        <f t="shared" si="0"/>
        <v>10000</v>
      </c>
      <c r="G5" s="14">
        <f t="shared" si="0"/>
        <v>10000</v>
      </c>
      <c r="H5" s="14">
        <f t="shared" si="0"/>
        <v>10000</v>
      </c>
      <c r="I5" s="14">
        <f t="shared" si="0"/>
        <v>10000</v>
      </c>
      <c r="J5" s="14">
        <f t="shared" si="0"/>
        <v>10000</v>
      </c>
      <c r="K5" s="14">
        <f t="shared" si="0"/>
        <v>10000</v>
      </c>
      <c r="L5" s="14">
        <f t="shared" si="0"/>
        <v>10000</v>
      </c>
      <c r="M5" s="14">
        <f t="shared" si="0"/>
        <v>10000</v>
      </c>
      <c r="N5" s="14">
        <f t="shared" si="0"/>
        <v>10000</v>
      </c>
      <c r="O5" s="14">
        <f t="shared" si="0"/>
        <v>10000</v>
      </c>
      <c r="P5" s="14">
        <f t="shared" si="0"/>
        <v>10000</v>
      </c>
      <c r="Q5" s="14">
        <f t="shared" si="0"/>
        <v>10000</v>
      </c>
      <c r="R5" s="14">
        <f t="shared" si="0"/>
        <v>10000</v>
      </c>
      <c r="S5" s="14">
        <f t="shared" si="0"/>
        <v>10000</v>
      </c>
      <c r="T5" s="14">
        <f t="shared" si="0"/>
        <v>10000</v>
      </c>
      <c r="U5" s="14">
        <f t="shared" si="0"/>
        <v>10000</v>
      </c>
      <c r="V5" s="14">
        <f t="shared" si="0"/>
        <v>10000</v>
      </c>
      <c r="W5" s="14">
        <f t="shared" si="0"/>
        <v>10000</v>
      </c>
      <c r="X5" s="14">
        <f t="shared" si="0"/>
        <v>10000</v>
      </c>
      <c r="Y5" s="14">
        <f t="shared" si="0"/>
        <v>10000</v>
      </c>
      <c r="Z5" s="14">
        <f t="shared" si="0"/>
        <v>10000</v>
      </c>
      <c r="AA5" s="14">
        <f t="shared" si="0"/>
        <v>10000</v>
      </c>
      <c r="AB5" s="14">
        <f t="shared" si="0"/>
        <v>10000</v>
      </c>
      <c r="AC5" s="14">
        <f t="shared" si="0"/>
        <v>10000</v>
      </c>
      <c r="AD5" s="14">
        <f t="shared" si="0"/>
        <v>10000</v>
      </c>
      <c r="AE5" s="14">
        <f t="shared" si="0"/>
        <v>10000</v>
      </c>
      <c r="AF5" s="14">
        <f t="shared" si="0"/>
        <v>10000</v>
      </c>
      <c r="AG5" s="14">
        <f t="shared" si="0"/>
        <v>10000</v>
      </c>
      <c r="AH5" s="14">
        <f t="shared" si="0"/>
        <v>10000</v>
      </c>
      <c r="AI5" s="14">
        <f t="shared" si="0"/>
        <v>10000</v>
      </c>
      <c r="AJ5" s="14">
        <f t="shared" si="0"/>
        <v>10000</v>
      </c>
      <c r="AK5" s="14">
        <f t="shared" si="0"/>
        <v>10000</v>
      </c>
      <c r="AL5" s="14">
        <f t="shared" si="0"/>
        <v>10000</v>
      </c>
    </row>
    <row r="6" spans="1:38">
      <c r="A6" s="14" t="s">
        <v>165</v>
      </c>
      <c r="B6" s="14" t="s">
        <v>166</v>
      </c>
      <c r="C6" s="14">
        <f>БДР!C11</f>
        <v>63999</v>
      </c>
      <c r="D6" s="14">
        <f>БДР!D11</f>
        <v>63999</v>
      </c>
      <c r="E6" s="14">
        <f>БДР!E11</f>
        <v>63999</v>
      </c>
      <c r="F6" s="14">
        <f>БДР!F11</f>
        <v>63999</v>
      </c>
      <c r="G6" s="14">
        <f>БДР!G11</f>
        <v>63999</v>
      </c>
      <c r="H6" s="14">
        <f>БДР!H11</f>
        <v>63999</v>
      </c>
      <c r="I6" s="14">
        <f>БДР!I11</f>
        <v>63999</v>
      </c>
      <c r="J6" s="14">
        <f>БДР!J11</f>
        <v>63999</v>
      </c>
      <c r="K6" s="14">
        <f>БДР!K11</f>
        <v>63999</v>
      </c>
      <c r="L6" s="14">
        <f>БДР!L11</f>
        <v>63999</v>
      </c>
      <c r="M6" s="14">
        <f>БДР!M11</f>
        <v>63999</v>
      </c>
      <c r="N6" s="14">
        <f>БДР!N11</f>
        <v>63999</v>
      </c>
      <c r="O6" s="14">
        <f>БДР!O11</f>
        <v>230000</v>
      </c>
      <c r="P6" s="14">
        <f>БДР!P11</f>
        <v>230000</v>
      </c>
      <c r="Q6" s="14">
        <f>БДР!Q11</f>
        <v>230000</v>
      </c>
      <c r="R6" s="14">
        <f>БДР!R11</f>
        <v>230000</v>
      </c>
      <c r="S6" s="14">
        <f>БДР!S11</f>
        <v>230000</v>
      </c>
      <c r="T6" s="14">
        <f>БДР!T11</f>
        <v>230000</v>
      </c>
      <c r="U6" s="14">
        <f>БДР!U11</f>
        <v>230000</v>
      </c>
      <c r="V6" s="14">
        <f>БДР!V11</f>
        <v>230000</v>
      </c>
      <c r="W6" s="14">
        <f>БДР!W11</f>
        <v>230000</v>
      </c>
      <c r="X6" s="14">
        <f>БДР!X11</f>
        <v>230000</v>
      </c>
      <c r="Y6" s="14">
        <f>БДР!Y11</f>
        <v>230000</v>
      </c>
      <c r="Z6" s="14">
        <f>БДР!Z11</f>
        <v>230000</v>
      </c>
      <c r="AA6" s="14">
        <f>БДР!AA11</f>
        <v>230000</v>
      </c>
      <c r="AB6" s="14">
        <f>БДР!AB11</f>
        <v>230000</v>
      </c>
      <c r="AC6" s="14">
        <f>БДР!AC11</f>
        <v>230000</v>
      </c>
      <c r="AD6" s="14">
        <f>БДР!AD11</f>
        <v>230000</v>
      </c>
      <c r="AE6" s="14">
        <f>БДР!AE11</f>
        <v>230000</v>
      </c>
      <c r="AF6" s="14">
        <f>БДР!AF11</f>
        <v>230000</v>
      </c>
      <c r="AG6" s="14">
        <f>БДР!AG11</f>
        <v>230000</v>
      </c>
      <c r="AH6" s="14">
        <f>БДР!AH11</f>
        <v>230000</v>
      </c>
      <c r="AI6" s="14">
        <f>БДР!AI11</f>
        <v>230000</v>
      </c>
      <c r="AJ6" s="14">
        <f>БДР!AJ11</f>
        <v>230000</v>
      </c>
      <c r="AK6" s="14">
        <f>БДР!AK11</f>
        <v>230000</v>
      </c>
      <c r="AL6" s="14">
        <f>БДР!AL11</f>
        <v>230000</v>
      </c>
    </row>
    <row r="7" spans="1:38">
      <c r="A7" s="14" t="s">
        <v>167</v>
      </c>
      <c r="B7" s="14" t="s">
        <v>168</v>
      </c>
      <c r="C7" s="15">
        <f t="shared" ref="C7:AL7" si="1">C6/C5</f>
        <v>6.3998999999999997</v>
      </c>
      <c r="D7" s="15">
        <f t="shared" si="1"/>
        <v>6.3998999999999997</v>
      </c>
      <c r="E7" s="15">
        <f t="shared" si="1"/>
        <v>6.3998999999999997</v>
      </c>
      <c r="F7" s="15">
        <f t="shared" si="1"/>
        <v>6.3998999999999997</v>
      </c>
      <c r="G7" s="15">
        <f t="shared" si="1"/>
        <v>6.3998999999999997</v>
      </c>
      <c r="H7" s="15">
        <f t="shared" si="1"/>
        <v>6.3998999999999997</v>
      </c>
      <c r="I7" s="15">
        <f t="shared" si="1"/>
        <v>6.3998999999999997</v>
      </c>
      <c r="J7" s="15">
        <f t="shared" si="1"/>
        <v>6.3998999999999997</v>
      </c>
      <c r="K7" s="15">
        <f t="shared" si="1"/>
        <v>6.3998999999999997</v>
      </c>
      <c r="L7" s="15">
        <f t="shared" si="1"/>
        <v>6.3998999999999997</v>
      </c>
      <c r="M7" s="15">
        <f t="shared" si="1"/>
        <v>6.3998999999999997</v>
      </c>
      <c r="N7" s="15">
        <f t="shared" si="1"/>
        <v>6.3998999999999997</v>
      </c>
      <c r="O7" s="15">
        <f t="shared" si="1"/>
        <v>23</v>
      </c>
      <c r="P7" s="15">
        <f t="shared" si="1"/>
        <v>23</v>
      </c>
      <c r="Q7" s="15">
        <f t="shared" si="1"/>
        <v>23</v>
      </c>
      <c r="R7" s="15">
        <f t="shared" si="1"/>
        <v>23</v>
      </c>
      <c r="S7" s="15">
        <f t="shared" si="1"/>
        <v>23</v>
      </c>
      <c r="T7" s="15">
        <f t="shared" si="1"/>
        <v>23</v>
      </c>
      <c r="U7" s="15">
        <f t="shared" si="1"/>
        <v>23</v>
      </c>
      <c r="V7" s="15">
        <f t="shared" si="1"/>
        <v>23</v>
      </c>
      <c r="W7" s="15">
        <f t="shared" si="1"/>
        <v>23</v>
      </c>
      <c r="X7" s="15">
        <f t="shared" si="1"/>
        <v>23</v>
      </c>
      <c r="Y7" s="15">
        <f t="shared" si="1"/>
        <v>23</v>
      </c>
      <c r="Z7" s="15">
        <f t="shared" si="1"/>
        <v>23</v>
      </c>
      <c r="AA7" s="15">
        <f t="shared" si="1"/>
        <v>23</v>
      </c>
      <c r="AB7" s="15">
        <f t="shared" si="1"/>
        <v>23</v>
      </c>
      <c r="AC7" s="15">
        <f t="shared" si="1"/>
        <v>23</v>
      </c>
      <c r="AD7" s="15">
        <f t="shared" si="1"/>
        <v>23</v>
      </c>
      <c r="AE7" s="15">
        <f t="shared" si="1"/>
        <v>23</v>
      </c>
      <c r="AF7" s="15">
        <f t="shared" si="1"/>
        <v>23</v>
      </c>
      <c r="AG7" s="15">
        <f t="shared" si="1"/>
        <v>23</v>
      </c>
      <c r="AH7" s="15">
        <f t="shared" si="1"/>
        <v>23</v>
      </c>
      <c r="AI7" s="15">
        <f t="shared" si="1"/>
        <v>23</v>
      </c>
      <c r="AJ7" s="15">
        <f t="shared" si="1"/>
        <v>23</v>
      </c>
      <c r="AK7" s="15">
        <f t="shared" si="1"/>
        <v>23</v>
      </c>
      <c r="AL7" s="15">
        <f t="shared" si="1"/>
        <v>23</v>
      </c>
    </row>
    <row r="8" spans="1:38">
      <c r="A8" s="14" t="s">
        <v>169</v>
      </c>
      <c r="B8" s="14" t="s">
        <v>170</v>
      </c>
      <c r="C8" s="14">
        <f t="shared" ref="C8:AL8" si="2">C7*C3</f>
        <v>127998</v>
      </c>
      <c r="D8" s="14">
        <f t="shared" si="2"/>
        <v>127998</v>
      </c>
      <c r="E8" s="14">
        <f t="shared" si="2"/>
        <v>127998</v>
      </c>
      <c r="F8" s="14">
        <f t="shared" si="2"/>
        <v>127998</v>
      </c>
      <c r="G8" s="14">
        <f t="shared" si="2"/>
        <v>127998</v>
      </c>
      <c r="H8" s="14">
        <f t="shared" si="2"/>
        <v>127998</v>
      </c>
      <c r="I8" s="14">
        <f t="shared" si="2"/>
        <v>127998</v>
      </c>
      <c r="J8" s="14">
        <f t="shared" si="2"/>
        <v>127998</v>
      </c>
      <c r="K8" s="14">
        <f t="shared" si="2"/>
        <v>127998</v>
      </c>
      <c r="L8" s="14">
        <f t="shared" si="2"/>
        <v>127998</v>
      </c>
      <c r="M8" s="14">
        <f t="shared" si="2"/>
        <v>127998</v>
      </c>
      <c r="N8" s="14">
        <f t="shared" si="2"/>
        <v>127998</v>
      </c>
      <c r="O8" s="14">
        <f t="shared" si="2"/>
        <v>460000</v>
      </c>
      <c r="P8" s="14">
        <f t="shared" si="2"/>
        <v>460000</v>
      </c>
      <c r="Q8" s="14">
        <f t="shared" si="2"/>
        <v>460000</v>
      </c>
      <c r="R8" s="14">
        <f t="shared" si="2"/>
        <v>460000</v>
      </c>
      <c r="S8" s="14">
        <f t="shared" si="2"/>
        <v>460000</v>
      </c>
      <c r="T8" s="14">
        <f t="shared" si="2"/>
        <v>460000</v>
      </c>
      <c r="U8" s="14">
        <f t="shared" si="2"/>
        <v>460000</v>
      </c>
      <c r="V8" s="14">
        <f t="shared" si="2"/>
        <v>460000</v>
      </c>
      <c r="W8" s="14">
        <f t="shared" si="2"/>
        <v>460000</v>
      </c>
      <c r="X8" s="14">
        <f t="shared" si="2"/>
        <v>460000</v>
      </c>
      <c r="Y8" s="14">
        <f t="shared" si="2"/>
        <v>460000</v>
      </c>
      <c r="Z8" s="14">
        <f t="shared" si="2"/>
        <v>460000</v>
      </c>
      <c r="AA8" s="14">
        <f t="shared" si="2"/>
        <v>460000</v>
      </c>
      <c r="AB8" s="14">
        <f t="shared" si="2"/>
        <v>460000</v>
      </c>
      <c r="AC8" s="14">
        <f t="shared" si="2"/>
        <v>460000</v>
      </c>
      <c r="AD8" s="14">
        <f t="shared" si="2"/>
        <v>460000</v>
      </c>
      <c r="AE8" s="14">
        <f t="shared" si="2"/>
        <v>460000</v>
      </c>
      <c r="AF8" s="14">
        <f t="shared" si="2"/>
        <v>460000</v>
      </c>
      <c r="AG8" s="14">
        <f t="shared" si="2"/>
        <v>460000</v>
      </c>
      <c r="AH8" s="14">
        <f t="shared" si="2"/>
        <v>460000</v>
      </c>
      <c r="AI8" s="14">
        <f t="shared" si="2"/>
        <v>460000</v>
      </c>
      <c r="AJ8" s="14">
        <f t="shared" si="2"/>
        <v>460000</v>
      </c>
      <c r="AK8" s="14">
        <f t="shared" si="2"/>
        <v>460000</v>
      </c>
      <c r="AL8" s="14">
        <f t="shared" si="2"/>
        <v>460000</v>
      </c>
    </row>
    <row r="9" spans="1:38">
      <c r="A9" s="14" t="s">
        <v>171</v>
      </c>
      <c r="B9" s="14" t="s">
        <v>172</v>
      </c>
      <c r="C9" s="14">
        <f>Доходы!C3</f>
        <v>0</v>
      </c>
      <c r="D9" s="14">
        <f>Доходы!D3</f>
        <v>0</v>
      </c>
      <c r="E9" s="14">
        <f>Доходы!E3</f>
        <v>0</v>
      </c>
      <c r="F9" s="14">
        <f>Доходы!F3</f>
        <v>0</v>
      </c>
      <c r="G9" s="14">
        <f>Доходы!G3</f>
        <v>0</v>
      </c>
      <c r="H9" s="14">
        <f>Доходы!H3</f>
        <v>0</v>
      </c>
      <c r="I9" s="14">
        <f>Доходы!I3</f>
        <v>0</v>
      </c>
      <c r="J9" s="14">
        <f>Доходы!J3</f>
        <v>0</v>
      </c>
      <c r="K9" s="14">
        <f>Доходы!K3</f>
        <v>0</v>
      </c>
      <c r="L9" s="14">
        <f>Доходы!L3</f>
        <v>0</v>
      </c>
      <c r="M9" s="14">
        <f>Доходы!M3</f>
        <v>0</v>
      </c>
      <c r="N9" s="14">
        <f>Доходы!N3</f>
        <v>0</v>
      </c>
      <c r="O9" s="14">
        <f>Доходы!O3</f>
        <v>10</v>
      </c>
      <c r="P9" s="14">
        <f>Доходы!P3</f>
        <v>15</v>
      </c>
      <c r="Q9" s="14">
        <f>Доходы!Q3</f>
        <v>30</v>
      </c>
      <c r="R9" s="14">
        <f>Доходы!R3</f>
        <v>30</v>
      </c>
      <c r="S9" s="14">
        <f>Доходы!S3</f>
        <v>30</v>
      </c>
      <c r="T9" s="14">
        <f>Доходы!T3</f>
        <v>30</v>
      </c>
      <c r="U9" s="14">
        <f>Доходы!U3</f>
        <v>30</v>
      </c>
      <c r="V9" s="14">
        <f>Доходы!V3</f>
        <v>30</v>
      </c>
      <c r="W9" s="14">
        <f>Доходы!W3</f>
        <v>30</v>
      </c>
      <c r="X9" s="14">
        <f>Доходы!X3</f>
        <v>30</v>
      </c>
      <c r="Y9" s="14">
        <f>Доходы!Y3</f>
        <v>35</v>
      </c>
      <c r="Z9" s="14">
        <f>Доходы!Z3</f>
        <v>35</v>
      </c>
      <c r="AA9" s="14">
        <f>Доходы!AA3</f>
        <v>50</v>
      </c>
      <c r="AB9" s="14">
        <f>Доходы!AB3</f>
        <v>40</v>
      </c>
      <c r="AC9" s="14">
        <f>Доходы!AC3</f>
        <v>40</v>
      </c>
      <c r="AD9" s="14">
        <f>Доходы!AD3</f>
        <v>40</v>
      </c>
      <c r="AE9" s="14">
        <f>Доходы!AE3</f>
        <v>40</v>
      </c>
      <c r="AF9" s="14">
        <f>Доходы!AF3</f>
        <v>40</v>
      </c>
      <c r="AG9" s="14">
        <f>Доходы!AG3</f>
        <v>40</v>
      </c>
      <c r="AH9" s="14">
        <f>Доходы!AH3</f>
        <v>40</v>
      </c>
      <c r="AI9" s="14">
        <f>Доходы!AI3</f>
        <v>40</v>
      </c>
      <c r="AJ9" s="14">
        <f>Доходы!AJ3</f>
        <v>40</v>
      </c>
      <c r="AK9" s="14">
        <f>Доходы!AK3</f>
        <v>50</v>
      </c>
      <c r="AL9" s="14">
        <f>Доходы!AL3</f>
        <v>50</v>
      </c>
    </row>
    <row r="10" spans="1:38">
      <c r="A10" s="14" t="s">
        <v>173</v>
      </c>
      <c r="B10" s="14" t="s">
        <v>174</v>
      </c>
      <c r="C10" s="15">
        <f t="shared" ref="C10:AL10" si="3">C9-C7</f>
        <v>-6.3998999999999997</v>
      </c>
      <c r="D10" s="15">
        <f t="shared" si="3"/>
        <v>-6.3998999999999997</v>
      </c>
      <c r="E10" s="15">
        <f t="shared" si="3"/>
        <v>-6.3998999999999997</v>
      </c>
      <c r="F10" s="15">
        <f t="shared" si="3"/>
        <v>-6.3998999999999997</v>
      </c>
      <c r="G10" s="15">
        <f t="shared" si="3"/>
        <v>-6.3998999999999997</v>
      </c>
      <c r="H10" s="15">
        <f t="shared" si="3"/>
        <v>-6.3998999999999997</v>
      </c>
      <c r="I10" s="15">
        <f t="shared" si="3"/>
        <v>-6.3998999999999997</v>
      </c>
      <c r="J10" s="15">
        <f t="shared" si="3"/>
        <v>-6.3998999999999997</v>
      </c>
      <c r="K10" s="15">
        <f t="shared" si="3"/>
        <v>-6.3998999999999997</v>
      </c>
      <c r="L10" s="15">
        <f t="shared" si="3"/>
        <v>-6.3998999999999997</v>
      </c>
      <c r="M10" s="15">
        <f t="shared" si="3"/>
        <v>-6.3998999999999997</v>
      </c>
      <c r="N10" s="15">
        <f t="shared" si="3"/>
        <v>-6.3998999999999997</v>
      </c>
      <c r="O10" s="15">
        <f t="shared" si="3"/>
        <v>-13</v>
      </c>
      <c r="P10" s="15">
        <f t="shared" si="3"/>
        <v>-8</v>
      </c>
      <c r="Q10" s="15">
        <f t="shared" si="3"/>
        <v>7</v>
      </c>
      <c r="R10" s="15">
        <f t="shared" si="3"/>
        <v>7</v>
      </c>
      <c r="S10" s="15">
        <f t="shared" si="3"/>
        <v>7</v>
      </c>
      <c r="T10" s="15">
        <f t="shared" si="3"/>
        <v>7</v>
      </c>
      <c r="U10" s="15">
        <f t="shared" si="3"/>
        <v>7</v>
      </c>
      <c r="V10" s="15">
        <f t="shared" si="3"/>
        <v>7</v>
      </c>
      <c r="W10" s="15">
        <f t="shared" si="3"/>
        <v>7</v>
      </c>
      <c r="X10" s="15">
        <f t="shared" si="3"/>
        <v>7</v>
      </c>
      <c r="Y10" s="15">
        <f t="shared" si="3"/>
        <v>12</v>
      </c>
      <c r="Z10" s="15">
        <f t="shared" si="3"/>
        <v>12</v>
      </c>
      <c r="AA10" s="15">
        <f t="shared" si="3"/>
        <v>27</v>
      </c>
      <c r="AB10" s="15">
        <f t="shared" si="3"/>
        <v>17</v>
      </c>
      <c r="AC10" s="15">
        <f t="shared" si="3"/>
        <v>17</v>
      </c>
      <c r="AD10" s="15">
        <f t="shared" si="3"/>
        <v>17</v>
      </c>
      <c r="AE10" s="15">
        <f t="shared" si="3"/>
        <v>17</v>
      </c>
      <c r="AF10" s="15">
        <f t="shared" si="3"/>
        <v>17</v>
      </c>
      <c r="AG10" s="15">
        <f t="shared" si="3"/>
        <v>17</v>
      </c>
      <c r="AH10" s="15">
        <f t="shared" si="3"/>
        <v>17</v>
      </c>
      <c r="AI10" s="15">
        <f t="shared" si="3"/>
        <v>17</v>
      </c>
      <c r="AJ10" s="15">
        <f t="shared" si="3"/>
        <v>17</v>
      </c>
      <c r="AK10" s="15">
        <f t="shared" si="3"/>
        <v>27</v>
      </c>
      <c r="AL10" s="15">
        <f t="shared" si="3"/>
        <v>27</v>
      </c>
    </row>
    <row r="11" spans="1:38">
      <c r="A11" s="14" t="s">
        <v>51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</row>
    <row r="12" spans="1:38">
      <c r="A12" s="14" t="s">
        <v>42</v>
      </c>
      <c r="B12" s="14" t="s">
        <v>43</v>
      </c>
      <c r="C12" s="14" t="s">
        <v>2</v>
      </c>
      <c r="D12" s="14" t="s">
        <v>3</v>
      </c>
      <c r="E12" s="14" t="s">
        <v>4</v>
      </c>
      <c r="F12" s="14" t="s">
        <v>5</v>
      </c>
      <c r="G12" s="14" t="s">
        <v>6</v>
      </c>
      <c r="H12" s="14" t="s">
        <v>7</v>
      </c>
      <c r="I12" s="14" t="s">
        <v>8</v>
      </c>
      <c r="J12" s="14" t="s">
        <v>9</v>
      </c>
      <c r="K12" s="14" t="s">
        <v>10</v>
      </c>
      <c r="L12" s="14" t="s">
        <v>11</v>
      </c>
      <c r="M12" s="14" t="s">
        <v>12</v>
      </c>
      <c r="N12" s="14" t="s">
        <v>13</v>
      </c>
      <c r="O12" s="14" t="s">
        <v>14</v>
      </c>
      <c r="P12" s="14" t="s">
        <v>15</v>
      </c>
      <c r="Q12" s="14" t="s">
        <v>16</v>
      </c>
      <c r="R12" s="14" t="s">
        <v>17</v>
      </c>
      <c r="S12" s="14" t="s">
        <v>18</v>
      </c>
      <c r="T12" s="14" t="s">
        <v>19</v>
      </c>
      <c r="U12" s="14" t="s">
        <v>20</v>
      </c>
      <c r="V12" s="14" t="s">
        <v>21</v>
      </c>
      <c r="W12" s="14" t="s">
        <v>22</v>
      </c>
      <c r="X12" s="14" t="s">
        <v>23</v>
      </c>
      <c r="Y12" s="14" t="s">
        <v>24</v>
      </c>
      <c r="Z12" s="14" t="s">
        <v>25</v>
      </c>
      <c r="AA12" s="14" t="s">
        <v>26</v>
      </c>
      <c r="AB12" s="14" t="s">
        <v>27</v>
      </c>
      <c r="AC12" s="14" t="s">
        <v>28</v>
      </c>
      <c r="AD12" s="14" t="s">
        <v>29</v>
      </c>
      <c r="AE12" s="14" t="s">
        <v>30</v>
      </c>
      <c r="AF12" s="14" t="s">
        <v>31</v>
      </c>
      <c r="AG12" s="14" t="s">
        <v>32</v>
      </c>
      <c r="AH12" s="14" t="s">
        <v>33</v>
      </c>
      <c r="AI12" s="14" t="s">
        <v>34</v>
      </c>
      <c r="AJ12" s="14" t="s">
        <v>35</v>
      </c>
      <c r="AK12" s="14" t="s">
        <v>36</v>
      </c>
      <c r="AL12" s="14" t="s">
        <v>37</v>
      </c>
    </row>
    <row r="13" spans="1:38">
      <c r="A13" s="14" t="s">
        <v>159</v>
      </c>
      <c r="B13" s="14" t="s">
        <v>175</v>
      </c>
      <c r="C13" s="14">
        <f>Доходы!C8</f>
        <v>60000</v>
      </c>
      <c r="D13" s="14">
        <f>Доходы!D8</f>
        <v>60000</v>
      </c>
      <c r="E13" s="14">
        <f>Доходы!E8</f>
        <v>60000</v>
      </c>
      <c r="F13" s="14">
        <f>Доходы!F8</f>
        <v>60000</v>
      </c>
      <c r="G13" s="14">
        <f>Доходы!G8</f>
        <v>60000</v>
      </c>
      <c r="H13" s="14">
        <f>Доходы!H8</f>
        <v>60000</v>
      </c>
      <c r="I13" s="14">
        <f>Доходы!I8</f>
        <v>60000</v>
      </c>
      <c r="J13" s="14">
        <f>Доходы!J8</f>
        <v>60000</v>
      </c>
      <c r="K13" s="14">
        <f>Доходы!K8</f>
        <v>60000</v>
      </c>
      <c r="L13" s="14">
        <f>Доходы!L8</f>
        <v>60000</v>
      </c>
      <c r="M13" s="14">
        <f>Доходы!M8</f>
        <v>60000</v>
      </c>
      <c r="N13" s="14">
        <f>Доходы!N8</f>
        <v>60000</v>
      </c>
      <c r="O13" s="14">
        <f>Доходы!O8</f>
        <v>60000</v>
      </c>
      <c r="P13" s="14">
        <f>Доходы!P8</f>
        <v>60000</v>
      </c>
      <c r="Q13" s="14">
        <f>Доходы!Q8</f>
        <v>60000</v>
      </c>
      <c r="R13" s="14">
        <f>Доходы!R8</f>
        <v>60000</v>
      </c>
      <c r="S13" s="14">
        <f>Доходы!S8</f>
        <v>60000</v>
      </c>
      <c r="T13" s="14">
        <f>Доходы!T8</f>
        <v>60000</v>
      </c>
      <c r="U13" s="14">
        <f>Доходы!U8</f>
        <v>60000</v>
      </c>
      <c r="V13" s="14">
        <f>Доходы!V8</f>
        <v>60000</v>
      </c>
      <c r="W13" s="14">
        <f>Доходы!W8</f>
        <v>60000</v>
      </c>
      <c r="X13" s="14">
        <f>Доходы!X8</f>
        <v>60000</v>
      </c>
      <c r="Y13" s="14">
        <f>Доходы!Y8</f>
        <v>60000</v>
      </c>
      <c r="Z13" s="14">
        <f>Доходы!Z8</f>
        <v>60000</v>
      </c>
      <c r="AA13" s="14">
        <f>Доходы!AA8</f>
        <v>60000</v>
      </c>
      <c r="AB13" s="14">
        <f>Доходы!AB8</f>
        <v>60000</v>
      </c>
      <c r="AC13" s="14">
        <f>Доходы!AC8</f>
        <v>60000</v>
      </c>
      <c r="AD13" s="14">
        <f>Доходы!AD8</f>
        <v>60000</v>
      </c>
      <c r="AE13" s="14">
        <f>Доходы!AE8</f>
        <v>60000</v>
      </c>
      <c r="AF13" s="14">
        <f>Доходы!AF8</f>
        <v>60000</v>
      </c>
      <c r="AG13" s="14">
        <f>Доходы!AG8</f>
        <v>60000</v>
      </c>
      <c r="AH13" s="14">
        <f>Доходы!AH8</f>
        <v>60000</v>
      </c>
      <c r="AI13" s="14">
        <f>Доходы!AI8</f>
        <v>60000</v>
      </c>
      <c r="AJ13" s="14">
        <f>Доходы!AJ8</f>
        <v>60000</v>
      </c>
      <c r="AK13" s="14">
        <f>Доходы!AK8</f>
        <v>60000</v>
      </c>
      <c r="AL13" s="14">
        <f>Доходы!AL8</f>
        <v>60000</v>
      </c>
    </row>
    <row r="14" spans="1:38">
      <c r="A14" s="14" t="s">
        <v>161</v>
      </c>
      <c r="B14" s="14" t="s">
        <v>162</v>
      </c>
      <c r="C14" s="14">
        <f>Расходы!C15</f>
        <v>40000</v>
      </c>
      <c r="D14" s="14">
        <f>Расходы!D15</f>
        <v>40000</v>
      </c>
      <c r="E14" s="14">
        <f>Расходы!E15</f>
        <v>40000</v>
      </c>
      <c r="F14" s="14">
        <f>Расходы!F15</f>
        <v>40000</v>
      </c>
      <c r="G14" s="14">
        <f>Расходы!G15</f>
        <v>40000</v>
      </c>
      <c r="H14" s="14">
        <f>Расходы!H15</f>
        <v>40000</v>
      </c>
      <c r="I14" s="14">
        <f>Расходы!I15</f>
        <v>40000</v>
      </c>
      <c r="J14" s="14">
        <f>Расходы!J15</f>
        <v>40000</v>
      </c>
      <c r="K14" s="14">
        <f>Расходы!K15</f>
        <v>40000</v>
      </c>
      <c r="L14" s="14">
        <f>Расходы!L15</f>
        <v>40000</v>
      </c>
      <c r="M14" s="14">
        <f>Расходы!M15</f>
        <v>40000</v>
      </c>
      <c r="N14" s="14">
        <f>Расходы!N15</f>
        <v>40000</v>
      </c>
      <c r="O14" s="14">
        <f>Расходы!O15</f>
        <v>40000</v>
      </c>
      <c r="P14" s="14">
        <f>Расходы!P15</f>
        <v>40000</v>
      </c>
      <c r="Q14" s="14">
        <f>Расходы!Q15</f>
        <v>40000</v>
      </c>
      <c r="R14" s="14">
        <f>Расходы!R15</f>
        <v>40000</v>
      </c>
      <c r="S14" s="14">
        <f>Расходы!S15</f>
        <v>40000</v>
      </c>
      <c r="T14" s="14">
        <f>Расходы!T15</f>
        <v>40000</v>
      </c>
      <c r="U14" s="14">
        <f>Расходы!U15</f>
        <v>40000</v>
      </c>
      <c r="V14" s="14">
        <f>Расходы!V15</f>
        <v>40000</v>
      </c>
      <c r="W14" s="14">
        <f>Расходы!W15</f>
        <v>40000</v>
      </c>
      <c r="X14" s="14">
        <f>Расходы!X15</f>
        <v>40000</v>
      </c>
      <c r="Y14" s="14">
        <f>Расходы!Y15</f>
        <v>40000</v>
      </c>
      <c r="Z14" s="14">
        <f>Расходы!Z15</f>
        <v>40000</v>
      </c>
      <c r="AA14" s="14">
        <f>Расходы!AA15</f>
        <v>40000</v>
      </c>
      <c r="AB14" s="14">
        <f>Расходы!AB15</f>
        <v>40000</v>
      </c>
      <c r="AC14" s="14">
        <f>Расходы!AC15</f>
        <v>40000</v>
      </c>
      <c r="AD14" s="14">
        <f>Расходы!AD15</f>
        <v>40000</v>
      </c>
      <c r="AE14" s="14">
        <f>Расходы!AE15</f>
        <v>40000</v>
      </c>
      <c r="AF14" s="14">
        <f>Расходы!AF15</f>
        <v>40000</v>
      </c>
      <c r="AG14" s="14">
        <f>Расходы!AG15</f>
        <v>40000</v>
      </c>
      <c r="AH14" s="14">
        <f>Расходы!AH15</f>
        <v>40000</v>
      </c>
      <c r="AI14" s="14">
        <f>Расходы!AI15</f>
        <v>40000</v>
      </c>
      <c r="AJ14" s="14">
        <f>Расходы!AJ15</f>
        <v>40000</v>
      </c>
      <c r="AK14" s="14">
        <f>Расходы!AK15</f>
        <v>40000</v>
      </c>
      <c r="AL14" s="14">
        <f>Расходы!AL15</f>
        <v>40000</v>
      </c>
    </row>
    <row r="15" spans="1:38">
      <c r="A15" s="14" t="s">
        <v>163</v>
      </c>
      <c r="B15" s="14" t="s">
        <v>164</v>
      </c>
      <c r="C15" s="14">
        <f t="shared" ref="C15:AL15" si="4">C13-C14</f>
        <v>20000</v>
      </c>
      <c r="D15" s="14">
        <f t="shared" si="4"/>
        <v>20000</v>
      </c>
      <c r="E15" s="14">
        <f t="shared" si="4"/>
        <v>20000</v>
      </c>
      <c r="F15" s="14">
        <f t="shared" si="4"/>
        <v>20000</v>
      </c>
      <c r="G15" s="14">
        <f t="shared" si="4"/>
        <v>20000</v>
      </c>
      <c r="H15" s="14">
        <f t="shared" si="4"/>
        <v>20000</v>
      </c>
      <c r="I15" s="14">
        <f t="shared" si="4"/>
        <v>20000</v>
      </c>
      <c r="J15" s="14">
        <f t="shared" si="4"/>
        <v>20000</v>
      </c>
      <c r="K15" s="14">
        <f t="shared" si="4"/>
        <v>20000</v>
      </c>
      <c r="L15" s="14">
        <f t="shared" si="4"/>
        <v>20000</v>
      </c>
      <c r="M15" s="14">
        <f t="shared" si="4"/>
        <v>20000</v>
      </c>
      <c r="N15" s="14">
        <f t="shared" si="4"/>
        <v>20000</v>
      </c>
      <c r="O15" s="14">
        <f t="shared" si="4"/>
        <v>20000</v>
      </c>
      <c r="P15" s="14">
        <f t="shared" si="4"/>
        <v>20000</v>
      </c>
      <c r="Q15" s="14">
        <f t="shared" si="4"/>
        <v>20000</v>
      </c>
      <c r="R15" s="14">
        <f t="shared" si="4"/>
        <v>20000</v>
      </c>
      <c r="S15" s="14">
        <f t="shared" si="4"/>
        <v>20000</v>
      </c>
      <c r="T15" s="14">
        <f t="shared" si="4"/>
        <v>20000</v>
      </c>
      <c r="U15" s="14">
        <f t="shared" si="4"/>
        <v>20000</v>
      </c>
      <c r="V15" s="14">
        <f t="shared" si="4"/>
        <v>20000</v>
      </c>
      <c r="W15" s="14">
        <f t="shared" si="4"/>
        <v>20000</v>
      </c>
      <c r="X15" s="14">
        <f t="shared" si="4"/>
        <v>20000</v>
      </c>
      <c r="Y15" s="14">
        <f t="shared" si="4"/>
        <v>20000</v>
      </c>
      <c r="Z15" s="14">
        <f t="shared" si="4"/>
        <v>20000</v>
      </c>
      <c r="AA15" s="14">
        <f t="shared" si="4"/>
        <v>20000</v>
      </c>
      <c r="AB15" s="14">
        <f t="shared" si="4"/>
        <v>20000</v>
      </c>
      <c r="AC15" s="14">
        <f t="shared" si="4"/>
        <v>20000</v>
      </c>
      <c r="AD15" s="14">
        <f t="shared" si="4"/>
        <v>20000</v>
      </c>
      <c r="AE15" s="14">
        <f t="shared" si="4"/>
        <v>20000</v>
      </c>
      <c r="AF15" s="14">
        <f t="shared" si="4"/>
        <v>20000</v>
      </c>
      <c r="AG15" s="14">
        <f t="shared" si="4"/>
        <v>20000</v>
      </c>
      <c r="AH15" s="14">
        <f t="shared" si="4"/>
        <v>20000</v>
      </c>
      <c r="AI15" s="14">
        <f t="shared" si="4"/>
        <v>20000</v>
      </c>
      <c r="AJ15" s="14">
        <f t="shared" si="4"/>
        <v>20000</v>
      </c>
      <c r="AK15" s="14">
        <f t="shared" si="4"/>
        <v>20000</v>
      </c>
      <c r="AL15" s="14">
        <f t="shared" si="4"/>
        <v>20000</v>
      </c>
    </row>
    <row r="16" spans="1:38">
      <c r="A16" s="14" t="s">
        <v>165</v>
      </c>
      <c r="B16" s="14" t="s">
        <v>176</v>
      </c>
      <c r="C16" s="14">
        <f>БДР!C11</f>
        <v>63999</v>
      </c>
      <c r="D16" s="14">
        <f>БДР!D11</f>
        <v>63999</v>
      </c>
      <c r="E16" s="14">
        <f>БДР!E11</f>
        <v>63999</v>
      </c>
      <c r="F16" s="14">
        <f>БДР!F11</f>
        <v>63999</v>
      </c>
      <c r="G16" s="14">
        <f>БДР!G11</f>
        <v>63999</v>
      </c>
      <c r="H16" s="14">
        <f>БДР!H11</f>
        <v>63999</v>
      </c>
      <c r="I16" s="14">
        <f>БДР!I11</f>
        <v>63999</v>
      </c>
      <c r="J16" s="14">
        <f>БДР!J11</f>
        <v>63999</v>
      </c>
      <c r="K16" s="14">
        <f>БДР!K11</f>
        <v>63999</v>
      </c>
      <c r="L16" s="14">
        <f>БДР!L11</f>
        <v>63999</v>
      </c>
      <c r="M16" s="14">
        <f>БДР!M11</f>
        <v>63999</v>
      </c>
      <c r="N16" s="14">
        <f>БДР!N11</f>
        <v>63999</v>
      </c>
      <c r="O16" s="14">
        <f>БДР!O11</f>
        <v>230000</v>
      </c>
      <c r="P16" s="14">
        <f>БДР!P11</f>
        <v>230000</v>
      </c>
      <c r="Q16" s="14">
        <f>БДР!Q11</f>
        <v>230000</v>
      </c>
      <c r="R16" s="14">
        <f>БДР!R11</f>
        <v>230000</v>
      </c>
      <c r="S16" s="14">
        <f>БДР!S11</f>
        <v>230000</v>
      </c>
      <c r="T16" s="14">
        <f>БДР!T11</f>
        <v>230000</v>
      </c>
      <c r="U16" s="14">
        <f>БДР!U11</f>
        <v>230000</v>
      </c>
      <c r="V16" s="14">
        <f>БДР!V11</f>
        <v>230000</v>
      </c>
      <c r="W16" s="14">
        <f>БДР!W11</f>
        <v>230000</v>
      </c>
      <c r="X16" s="14">
        <f>БДР!X11</f>
        <v>230000</v>
      </c>
      <c r="Y16" s="14">
        <f>БДР!Y11</f>
        <v>230000</v>
      </c>
      <c r="Z16" s="14">
        <f>БДР!Z11</f>
        <v>230000</v>
      </c>
      <c r="AA16" s="14">
        <f>БДР!AA11</f>
        <v>230000</v>
      </c>
      <c r="AB16" s="14">
        <f>БДР!AB11</f>
        <v>230000</v>
      </c>
      <c r="AC16" s="14">
        <f>БДР!AC11</f>
        <v>230000</v>
      </c>
      <c r="AD16" s="14">
        <f>БДР!AD11</f>
        <v>230000</v>
      </c>
      <c r="AE16" s="14">
        <f>БДР!AE11</f>
        <v>230000</v>
      </c>
      <c r="AF16" s="14">
        <f>БДР!AF11</f>
        <v>230000</v>
      </c>
      <c r="AG16" s="14">
        <f>БДР!AG11</f>
        <v>230000</v>
      </c>
      <c r="AH16" s="14">
        <f>БДР!AH11</f>
        <v>230000</v>
      </c>
      <c r="AI16" s="14">
        <f>БДР!AI11</f>
        <v>230000</v>
      </c>
      <c r="AJ16" s="14">
        <f>БДР!AJ11</f>
        <v>230000</v>
      </c>
      <c r="AK16" s="14">
        <f>БДР!AK11</f>
        <v>230000</v>
      </c>
      <c r="AL16" s="14">
        <f>БДР!AL11</f>
        <v>230000</v>
      </c>
    </row>
    <row r="17" spans="1:38">
      <c r="A17" s="14" t="s">
        <v>167</v>
      </c>
      <c r="B17" s="14" t="s">
        <v>168</v>
      </c>
      <c r="C17" s="15">
        <f t="shared" ref="C17:AL17" si="5">C16/C15</f>
        <v>3.1999499999999999</v>
      </c>
      <c r="D17" s="15">
        <f t="shared" si="5"/>
        <v>3.1999499999999999</v>
      </c>
      <c r="E17" s="15">
        <f t="shared" si="5"/>
        <v>3.1999499999999999</v>
      </c>
      <c r="F17" s="15">
        <f t="shared" si="5"/>
        <v>3.1999499999999999</v>
      </c>
      <c r="G17" s="15">
        <f t="shared" si="5"/>
        <v>3.1999499999999999</v>
      </c>
      <c r="H17" s="15">
        <f t="shared" si="5"/>
        <v>3.1999499999999999</v>
      </c>
      <c r="I17" s="15">
        <f t="shared" si="5"/>
        <v>3.1999499999999999</v>
      </c>
      <c r="J17" s="15">
        <f t="shared" si="5"/>
        <v>3.1999499999999999</v>
      </c>
      <c r="K17" s="15">
        <f t="shared" si="5"/>
        <v>3.1999499999999999</v>
      </c>
      <c r="L17" s="15">
        <f t="shared" si="5"/>
        <v>3.1999499999999999</v>
      </c>
      <c r="M17" s="15">
        <f t="shared" si="5"/>
        <v>3.1999499999999999</v>
      </c>
      <c r="N17" s="15">
        <f t="shared" si="5"/>
        <v>3.1999499999999999</v>
      </c>
      <c r="O17" s="15">
        <f t="shared" si="5"/>
        <v>11.5</v>
      </c>
      <c r="P17" s="15">
        <f t="shared" si="5"/>
        <v>11.5</v>
      </c>
      <c r="Q17" s="15">
        <f t="shared" si="5"/>
        <v>11.5</v>
      </c>
      <c r="R17" s="15">
        <f t="shared" si="5"/>
        <v>11.5</v>
      </c>
      <c r="S17" s="15">
        <f t="shared" si="5"/>
        <v>11.5</v>
      </c>
      <c r="T17" s="15">
        <f t="shared" si="5"/>
        <v>11.5</v>
      </c>
      <c r="U17" s="15">
        <f t="shared" si="5"/>
        <v>11.5</v>
      </c>
      <c r="V17" s="15">
        <f t="shared" si="5"/>
        <v>11.5</v>
      </c>
      <c r="W17" s="15">
        <f t="shared" si="5"/>
        <v>11.5</v>
      </c>
      <c r="X17" s="15">
        <f t="shared" si="5"/>
        <v>11.5</v>
      </c>
      <c r="Y17" s="15">
        <f t="shared" si="5"/>
        <v>11.5</v>
      </c>
      <c r="Z17" s="15">
        <f t="shared" si="5"/>
        <v>11.5</v>
      </c>
      <c r="AA17" s="15">
        <f t="shared" si="5"/>
        <v>11.5</v>
      </c>
      <c r="AB17" s="15">
        <f t="shared" si="5"/>
        <v>11.5</v>
      </c>
      <c r="AC17" s="15">
        <f t="shared" si="5"/>
        <v>11.5</v>
      </c>
      <c r="AD17" s="15">
        <f t="shared" si="5"/>
        <v>11.5</v>
      </c>
      <c r="AE17" s="15">
        <f t="shared" si="5"/>
        <v>11.5</v>
      </c>
      <c r="AF17" s="15">
        <f t="shared" si="5"/>
        <v>11.5</v>
      </c>
      <c r="AG17" s="15">
        <f t="shared" si="5"/>
        <v>11.5</v>
      </c>
      <c r="AH17" s="15">
        <f t="shared" si="5"/>
        <v>11.5</v>
      </c>
      <c r="AI17" s="15">
        <f t="shared" si="5"/>
        <v>11.5</v>
      </c>
      <c r="AJ17" s="15">
        <f t="shared" si="5"/>
        <v>11.5</v>
      </c>
      <c r="AK17" s="15">
        <f t="shared" si="5"/>
        <v>11.5</v>
      </c>
      <c r="AL17" s="15">
        <f t="shared" si="5"/>
        <v>11.5</v>
      </c>
    </row>
    <row r="18" spans="1:38">
      <c r="A18" s="14" t="s">
        <v>169</v>
      </c>
      <c r="B18" s="14" t="s">
        <v>170</v>
      </c>
      <c r="C18" s="14">
        <f t="shared" ref="C18:AL18" si="6">C17*C13</f>
        <v>191997</v>
      </c>
      <c r="D18" s="14">
        <f t="shared" si="6"/>
        <v>191997</v>
      </c>
      <c r="E18" s="14">
        <f t="shared" si="6"/>
        <v>191997</v>
      </c>
      <c r="F18" s="14">
        <f t="shared" si="6"/>
        <v>191997</v>
      </c>
      <c r="G18" s="14">
        <f t="shared" si="6"/>
        <v>191997</v>
      </c>
      <c r="H18" s="14">
        <f t="shared" si="6"/>
        <v>191997</v>
      </c>
      <c r="I18" s="14">
        <f>I17*I13</f>
        <v>191997</v>
      </c>
      <c r="J18" s="14">
        <f t="shared" si="6"/>
        <v>191997</v>
      </c>
      <c r="K18" s="14">
        <f t="shared" si="6"/>
        <v>191997</v>
      </c>
      <c r="L18" s="14">
        <f t="shared" si="6"/>
        <v>191997</v>
      </c>
      <c r="M18" s="14">
        <f t="shared" si="6"/>
        <v>191997</v>
      </c>
      <c r="N18" s="14">
        <f t="shared" si="6"/>
        <v>191997</v>
      </c>
      <c r="O18" s="14">
        <f t="shared" si="6"/>
        <v>690000</v>
      </c>
      <c r="P18" s="14">
        <f t="shared" si="6"/>
        <v>690000</v>
      </c>
      <c r="Q18" s="14">
        <f t="shared" si="6"/>
        <v>690000</v>
      </c>
      <c r="R18" s="14">
        <f t="shared" si="6"/>
        <v>690000</v>
      </c>
      <c r="S18" s="14">
        <f t="shared" si="6"/>
        <v>690000</v>
      </c>
      <c r="T18" s="14">
        <f t="shared" si="6"/>
        <v>690000</v>
      </c>
      <c r="U18" s="14">
        <f t="shared" si="6"/>
        <v>690000</v>
      </c>
      <c r="V18" s="14">
        <f t="shared" si="6"/>
        <v>690000</v>
      </c>
      <c r="W18" s="14">
        <f t="shared" si="6"/>
        <v>690000</v>
      </c>
      <c r="X18" s="14">
        <f t="shared" si="6"/>
        <v>690000</v>
      </c>
      <c r="Y18" s="14">
        <f t="shared" si="6"/>
        <v>690000</v>
      </c>
      <c r="Z18" s="14">
        <f t="shared" si="6"/>
        <v>690000</v>
      </c>
      <c r="AA18" s="14">
        <f t="shared" si="6"/>
        <v>690000</v>
      </c>
      <c r="AB18" s="14">
        <f t="shared" si="6"/>
        <v>690000</v>
      </c>
      <c r="AC18" s="14">
        <f t="shared" si="6"/>
        <v>690000</v>
      </c>
      <c r="AD18" s="14">
        <f t="shared" si="6"/>
        <v>690000</v>
      </c>
      <c r="AE18" s="14">
        <f t="shared" si="6"/>
        <v>690000</v>
      </c>
      <c r="AF18" s="14">
        <f t="shared" si="6"/>
        <v>690000</v>
      </c>
      <c r="AG18" s="14">
        <f t="shared" si="6"/>
        <v>690000</v>
      </c>
      <c r="AH18" s="14">
        <f t="shared" si="6"/>
        <v>690000</v>
      </c>
      <c r="AI18" s="14">
        <f t="shared" si="6"/>
        <v>690000</v>
      </c>
      <c r="AJ18" s="14">
        <f t="shared" si="6"/>
        <v>690000</v>
      </c>
      <c r="AK18" s="14">
        <f t="shared" si="6"/>
        <v>690000</v>
      </c>
      <c r="AL18" s="14">
        <f t="shared" si="6"/>
        <v>690000</v>
      </c>
    </row>
    <row r="19" spans="1:38">
      <c r="A19" s="14" t="s">
        <v>171</v>
      </c>
      <c r="B19" s="14" t="s">
        <v>172</v>
      </c>
      <c r="C19" s="14">
        <f>Доходы!C7</f>
        <v>0</v>
      </c>
      <c r="D19" s="14">
        <f>Доходы!D7</f>
        <v>0</v>
      </c>
      <c r="E19" s="14">
        <f>Доходы!E7</f>
        <v>0</v>
      </c>
      <c r="F19" s="14">
        <f>Доходы!F7</f>
        <v>0</v>
      </c>
      <c r="G19" s="14">
        <f>Доходы!G7</f>
        <v>0</v>
      </c>
      <c r="H19" s="14">
        <f>Доходы!H7</f>
        <v>0</v>
      </c>
      <c r="I19" s="14">
        <f>Доходы!I7</f>
        <v>0</v>
      </c>
      <c r="J19" s="14">
        <f>Доходы!J7</f>
        <v>0</v>
      </c>
      <c r="K19" s="14">
        <f>Доходы!K7</f>
        <v>0</v>
      </c>
      <c r="L19" s="14">
        <f>Доходы!L7</f>
        <v>0</v>
      </c>
      <c r="M19" s="14">
        <f>Доходы!M7</f>
        <v>0</v>
      </c>
      <c r="N19" s="14">
        <f>Доходы!N7</f>
        <v>0</v>
      </c>
      <c r="O19" s="14">
        <f>Доходы!O7</f>
        <v>3.0000000000000004</v>
      </c>
      <c r="P19" s="14">
        <f>Доходы!P7</f>
        <v>5</v>
      </c>
      <c r="Q19" s="14">
        <f>Доходы!Q7</f>
        <v>10</v>
      </c>
      <c r="R19" s="14">
        <f>Доходы!R7</f>
        <v>10</v>
      </c>
      <c r="S19" s="14">
        <f>Доходы!S7</f>
        <v>10</v>
      </c>
      <c r="T19" s="14">
        <f>Доходы!T7</f>
        <v>10</v>
      </c>
      <c r="U19" s="14">
        <f>Доходы!U7</f>
        <v>10</v>
      </c>
      <c r="V19" s="14">
        <f>Доходы!V7</f>
        <v>10</v>
      </c>
      <c r="W19" s="14">
        <f>Доходы!W7</f>
        <v>10</v>
      </c>
      <c r="X19" s="14">
        <f>Доходы!X7</f>
        <v>10</v>
      </c>
      <c r="Y19" s="14">
        <f>Доходы!Y7</f>
        <v>15</v>
      </c>
      <c r="Z19" s="14">
        <f>Доходы!Z7</f>
        <v>15</v>
      </c>
      <c r="AA19" s="14">
        <f>Доходы!AA7</f>
        <v>18.000000000000004</v>
      </c>
      <c r="AB19" s="14">
        <f>Доходы!AB7</f>
        <v>18.000000000000004</v>
      </c>
      <c r="AC19" s="14">
        <f>Доходы!AC7</f>
        <v>18.000000000000004</v>
      </c>
      <c r="AD19" s="14">
        <f>Доходы!AD7</f>
        <v>18.000000000000004</v>
      </c>
      <c r="AE19" s="14">
        <f>Доходы!AE7</f>
        <v>18.000000000000004</v>
      </c>
      <c r="AF19" s="14">
        <f>Доходы!AF7</f>
        <v>18.000000000000004</v>
      </c>
      <c r="AG19" s="14">
        <f>Доходы!AG7</f>
        <v>18.000000000000004</v>
      </c>
      <c r="AH19" s="14">
        <f>Доходы!AH7</f>
        <v>18.000000000000004</v>
      </c>
      <c r="AI19" s="14">
        <f>Доходы!AI7</f>
        <v>18.000000000000004</v>
      </c>
      <c r="AJ19" s="14">
        <f>Доходы!AJ7</f>
        <v>18.000000000000004</v>
      </c>
      <c r="AK19" s="14">
        <f>Доходы!AK7</f>
        <v>20</v>
      </c>
      <c r="AL19" s="14">
        <f>Доходы!AL7</f>
        <v>20</v>
      </c>
    </row>
    <row r="20" spans="1:38">
      <c r="A20" s="14" t="s">
        <v>173</v>
      </c>
      <c r="B20" s="14" t="s">
        <v>174</v>
      </c>
      <c r="C20" s="16">
        <f t="shared" ref="C20:AL20" si="7">C19-C17</f>
        <v>-3.1999499999999999</v>
      </c>
      <c r="D20" s="16">
        <f t="shared" si="7"/>
        <v>-3.1999499999999999</v>
      </c>
      <c r="E20" s="16">
        <f t="shared" si="7"/>
        <v>-3.1999499999999999</v>
      </c>
      <c r="F20" s="16">
        <f t="shared" si="7"/>
        <v>-3.1999499999999999</v>
      </c>
      <c r="G20" s="16">
        <f t="shared" si="7"/>
        <v>-3.1999499999999999</v>
      </c>
      <c r="H20" s="16">
        <f t="shared" si="7"/>
        <v>-3.1999499999999999</v>
      </c>
      <c r="I20" s="16">
        <f t="shared" si="7"/>
        <v>-3.1999499999999999</v>
      </c>
      <c r="J20" s="16">
        <f t="shared" si="7"/>
        <v>-3.1999499999999999</v>
      </c>
      <c r="K20" s="16">
        <f t="shared" si="7"/>
        <v>-3.1999499999999999</v>
      </c>
      <c r="L20" s="16">
        <f t="shared" si="7"/>
        <v>-3.1999499999999999</v>
      </c>
      <c r="M20" s="16">
        <f t="shared" si="7"/>
        <v>-3.1999499999999999</v>
      </c>
      <c r="N20" s="16">
        <f t="shared" si="7"/>
        <v>-3.1999499999999999</v>
      </c>
      <c r="O20" s="15">
        <f t="shared" si="7"/>
        <v>-8.5</v>
      </c>
      <c r="P20" s="15">
        <f t="shared" si="7"/>
        <v>-6.5</v>
      </c>
      <c r="Q20" s="15">
        <f t="shared" si="7"/>
        <v>-1.5</v>
      </c>
      <c r="R20" s="15">
        <f t="shared" si="7"/>
        <v>-1.5</v>
      </c>
      <c r="S20" s="15">
        <f t="shared" si="7"/>
        <v>-1.5</v>
      </c>
      <c r="T20" s="15">
        <f t="shared" si="7"/>
        <v>-1.5</v>
      </c>
      <c r="U20" s="15">
        <f t="shared" si="7"/>
        <v>-1.5</v>
      </c>
      <c r="V20" s="15">
        <f t="shared" si="7"/>
        <v>-1.5</v>
      </c>
      <c r="W20" s="15">
        <f t="shared" si="7"/>
        <v>-1.5</v>
      </c>
      <c r="X20" s="15">
        <f t="shared" si="7"/>
        <v>-1.5</v>
      </c>
      <c r="Y20" s="15">
        <f t="shared" si="7"/>
        <v>3.5</v>
      </c>
      <c r="Z20" s="15">
        <f t="shared" si="7"/>
        <v>3.5</v>
      </c>
      <c r="AA20" s="15">
        <f t="shared" si="7"/>
        <v>6.5000000000000036</v>
      </c>
      <c r="AB20" s="15">
        <f t="shared" si="7"/>
        <v>6.5000000000000036</v>
      </c>
      <c r="AC20" s="15">
        <f t="shared" si="7"/>
        <v>6.5000000000000036</v>
      </c>
      <c r="AD20" s="15">
        <f t="shared" si="7"/>
        <v>6.5000000000000036</v>
      </c>
      <c r="AE20" s="15">
        <f t="shared" si="7"/>
        <v>6.5000000000000036</v>
      </c>
      <c r="AF20" s="15">
        <f t="shared" si="7"/>
        <v>6.5000000000000036</v>
      </c>
      <c r="AG20" s="15">
        <f t="shared" si="7"/>
        <v>6.5000000000000036</v>
      </c>
      <c r="AH20" s="15">
        <f t="shared" si="7"/>
        <v>6.5000000000000036</v>
      </c>
      <c r="AI20" s="15">
        <f t="shared" si="7"/>
        <v>6.5000000000000036</v>
      </c>
      <c r="AJ20" s="15">
        <f t="shared" si="7"/>
        <v>6.5000000000000036</v>
      </c>
      <c r="AK20" s="15">
        <f t="shared" si="7"/>
        <v>8.5</v>
      </c>
      <c r="AL20" s="15">
        <f t="shared" si="7"/>
        <v>8.5</v>
      </c>
    </row>
    <row r="21" spans="1:38">
      <c r="A21" s="17" t="s">
        <v>177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</row>
    <row r="22" spans="1:38">
      <c r="A22" s="14" t="s">
        <v>42</v>
      </c>
      <c r="B22" s="14" t="s">
        <v>43</v>
      </c>
      <c r="C22" s="14" t="s">
        <v>2</v>
      </c>
      <c r="D22" s="14" t="s">
        <v>3</v>
      </c>
      <c r="E22" s="14" t="s">
        <v>4</v>
      </c>
      <c r="F22" s="14" t="s">
        <v>5</v>
      </c>
      <c r="G22" s="14" t="s">
        <v>6</v>
      </c>
      <c r="H22" s="14" t="s">
        <v>7</v>
      </c>
      <c r="I22" s="14" t="s">
        <v>8</v>
      </c>
      <c r="J22" s="14" t="s">
        <v>9</v>
      </c>
      <c r="K22" s="14" t="s">
        <v>10</v>
      </c>
      <c r="L22" s="14" t="s">
        <v>11</v>
      </c>
      <c r="M22" s="14" t="s">
        <v>12</v>
      </c>
      <c r="N22" s="14" t="s">
        <v>13</v>
      </c>
      <c r="O22" s="14" t="s">
        <v>14</v>
      </c>
      <c r="P22" s="14" t="s">
        <v>15</v>
      </c>
      <c r="Q22" s="14" t="s">
        <v>16</v>
      </c>
      <c r="R22" s="14" t="s">
        <v>17</v>
      </c>
      <c r="S22" s="14" t="s">
        <v>18</v>
      </c>
      <c r="T22" s="14" t="s">
        <v>19</v>
      </c>
      <c r="U22" s="14" t="s">
        <v>20</v>
      </c>
      <c r="V22" s="14" t="s">
        <v>21</v>
      </c>
      <c r="W22" s="14" t="s">
        <v>22</v>
      </c>
      <c r="X22" s="14" t="s">
        <v>23</v>
      </c>
      <c r="Y22" s="14" t="s">
        <v>24</v>
      </c>
      <c r="Z22" s="14" t="s">
        <v>25</v>
      </c>
      <c r="AA22" s="14" t="s">
        <v>26</v>
      </c>
      <c r="AB22" s="14" t="s">
        <v>27</v>
      </c>
      <c r="AC22" s="14" t="s">
        <v>28</v>
      </c>
      <c r="AD22" s="14" t="s">
        <v>29</v>
      </c>
      <c r="AE22" s="14" t="s">
        <v>30</v>
      </c>
      <c r="AF22" s="14" t="s">
        <v>31</v>
      </c>
      <c r="AG22" s="14" t="s">
        <v>32</v>
      </c>
      <c r="AH22" s="14" t="s">
        <v>33</v>
      </c>
      <c r="AI22" s="14" t="s">
        <v>34</v>
      </c>
      <c r="AJ22" s="14" t="s">
        <v>35</v>
      </c>
      <c r="AK22" s="14" t="s">
        <v>36</v>
      </c>
      <c r="AL22" s="14" t="s">
        <v>37</v>
      </c>
    </row>
    <row r="23" spans="1:38">
      <c r="A23" s="14" t="s">
        <v>159</v>
      </c>
      <c r="B23" s="14" t="s">
        <v>175</v>
      </c>
      <c r="C23" s="14">
        <f>Доходы!C4+Доходы!C8</f>
        <v>80000</v>
      </c>
      <c r="D23" s="14">
        <f>Доходы!D4+Доходы!D8</f>
        <v>80000</v>
      </c>
      <c r="E23" s="14">
        <f>Доходы!E4+Доходы!E8</f>
        <v>80000</v>
      </c>
      <c r="F23" s="14">
        <f>Доходы!F4+Доходы!F8</f>
        <v>80000</v>
      </c>
      <c r="G23" s="14">
        <f>Доходы!G4+Доходы!G8</f>
        <v>80000</v>
      </c>
      <c r="H23" s="14">
        <f>Доходы!H4+Доходы!H8</f>
        <v>80000</v>
      </c>
      <c r="I23" s="14">
        <f>Доходы!I4+Доходы!I8</f>
        <v>80000</v>
      </c>
      <c r="J23" s="14">
        <f>Доходы!J4+Доходы!J8</f>
        <v>80000</v>
      </c>
      <c r="K23" s="14">
        <f>Доходы!K4+Доходы!K8</f>
        <v>80000</v>
      </c>
      <c r="L23" s="14">
        <f>Доходы!L4+Доходы!L8</f>
        <v>80000</v>
      </c>
      <c r="M23" s="14">
        <f>Доходы!M4+Доходы!M8</f>
        <v>80000</v>
      </c>
      <c r="N23" s="14">
        <f>Доходы!N4+Доходы!N8</f>
        <v>80000</v>
      </c>
      <c r="O23" s="14">
        <f>Доходы!O4+Доходы!O8</f>
        <v>80000</v>
      </c>
      <c r="P23" s="14">
        <f>Доходы!P4+Доходы!P8</f>
        <v>80000</v>
      </c>
      <c r="Q23" s="14">
        <f>Доходы!Q4+Доходы!Q8</f>
        <v>80000</v>
      </c>
      <c r="R23" s="14">
        <f>Доходы!R4+Доходы!R8</f>
        <v>80000</v>
      </c>
      <c r="S23" s="14">
        <f>Доходы!S4+Доходы!S8</f>
        <v>80000</v>
      </c>
      <c r="T23" s="14">
        <f>Доходы!T4+Доходы!T8</f>
        <v>80000</v>
      </c>
      <c r="U23" s="14">
        <f>Доходы!U4+Доходы!U8</f>
        <v>80000</v>
      </c>
      <c r="V23" s="14">
        <f>Доходы!V4+Доходы!V8</f>
        <v>80000</v>
      </c>
      <c r="W23" s="14">
        <f>Доходы!W4+Доходы!W8</f>
        <v>80000</v>
      </c>
      <c r="X23" s="14">
        <f>Доходы!X4+Доходы!X8</f>
        <v>80000</v>
      </c>
      <c r="Y23" s="14">
        <f>Доходы!Y4+Доходы!Y8</f>
        <v>80000</v>
      </c>
      <c r="Z23" s="14">
        <f>Доходы!Z4+Доходы!Z8</f>
        <v>80000</v>
      </c>
      <c r="AA23" s="14">
        <f>Доходы!AA4+Доходы!AA8</f>
        <v>80000</v>
      </c>
      <c r="AB23" s="14">
        <f>Доходы!AB4+Доходы!AB8</f>
        <v>80000</v>
      </c>
      <c r="AC23" s="14">
        <f>Доходы!AC4+Доходы!AC8</f>
        <v>80000</v>
      </c>
      <c r="AD23" s="14">
        <f>Доходы!AD4+Доходы!AD8</f>
        <v>80000</v>
      </c>
      <c r="AE23" s="14">
        <f>Доходы!AE4+Доходы!AE8</f>
        <v>80000</v>
      </c>
      <c r="AF23" s="14">
        <f>Доходы!AF4+Доходы!AF8</f>
        <v>80000</v>
      </c>
      <c r="AG23" s="14">
        <f>Доходы!AG4+Доходы!AG8</f>
        <v>80000</v>
      </c>
      <c r="AH23" s="14">
        <f>Доходы!AH4+Доходы!AH8</f>
        <v>80000</v>
      </c>
      <c r="AI23" s="14">
        <f>Доходы!AI4+Доходы!AI8</f>
        <v>80000</v>
      </c>
      <c r="AJ23" s="14">
        <f>Доходы!AJ4+Доходы!AJ8</f>
        <v>80000</v>
      </c>
      <c r="AK23" s="14">
        <f>Доходы!AK4+Доходы!AK8</f>
        <v>80000</v>
      </c>
      <c r="AL23" s="14">
        <f>Доходы!AL4+Доходы!AL8</f>
        <v>80000</v>
      </c>
    </row>
    <row r="24" spans="1:38">
      <c r="A24" s="14" t="s">
        <v>161</v>
      </c>
      <c r="B24" s="14" t="s">
        <v>162</v>
      </c>
      <c r="C24" s="14">
        <f>Расходы!C15+Расходы!C8</f>
        <v>50000</v>
      </c>
      <c r="D24" s="14">
        <f>Расходы!D15+Расходы!D8</f>
        <v>50000</v>
      </c>
      <c r="E24" s="14">
        <f>Расходы!E15+Расходы!E8</f>
        <v>50000</v>
      </c>
      <c r="F24" s="14">
        <f>Расходы!F15+Расходы!F8</f>
        <v>50000</v>
      </c>
      <c r="G24" s="14">
        <f>Расходы!G15+Расходы!G8</f>
        <v>50000</v>
      </c>
      <c r="H24" s="14">
        <f>Расходы!H15+Расходы!H8</f>
        <v>50000</v>
      </c>
      <c r="I24" s="14">
        <f>Расходы!I15+Расходы!I8</f>
        <v>50000</v>
      </c>
      <c r="J24" s="14">
        <f>Расходы!J15+Расходы!J8</f>
        <v>50000</v>
      </c>
      <c r="K24" s="14">
        <f>Расходы!K15+Расходы!K8</f>
        <v>50000</v>
      </c>
      <c r="L24" s="14">
        <f>Расходы!L15+Расходы!L8</f>
        <v>50000</v>
      </c>
      <c r="M24" s="14">
        <f>Расходы!M15+Расходы!M8</f>
        <v>50000</v>
      </c>
      <c r="N24" s="14">
        <f>Расходы!N15+Расходы!N8</f>
        <v>50000</v>
      </c>
      <c r="O24" s="14">
        <f>Расходы!O15+Расходы!O8</f>
        <v>50000</v>
      </c>
      <c r="P24" s="14">
        <f>Расходы!P15+Расходы!P8</f>
        <v>50000</v>
      </c>
      <c r="Q24" s="14">
        <f>Расходы!Q15+Расходы!Q8</f>
        <v>50000</v>
      </c>
      <c r="R24" s="14">
        <f>Расходы!R15+Расходы!R8</f>
        <v>50000</v>
      </c>
      <c r="S24" s="14">
        <f>Расходы!S15+Расходы!S8</f>
        <v>50000</v>
      </c>
      <c r="T24" s="14">
        <f>Расходы!T15+Расходы!T8</f>
        <v>50000</v>
      </c>
      <c r="U24" s="14">
        <f>Расходы!U15+Расходы!U8</f>
        <v>50000</v>
      </c>
      <c r="V24" s="14">
        <f>Расходы!V15+Расходы!V8</f>
        <v>50000</v>
      </c>
      <c r="W24" s="14">
        <f>Расходы!W15+Расходы!W8</f>
        <v>50000</v>
      </c>
      <c r="X24" s="14">
        <f>Расходы!X15+Расходы!X8</f>
        <v>50000</v>
      </c>
      <c r="Y24" s="14">
        <f>Расходы!Y15+Расходы!Y8</f>
        <v>50000</v>
      </c>
      <c r="Z24" s="14">
        <f>Расходы!Z15+Расходы!Z8</f>
        <v>50000</v>
      </c>
      <c r="AA24" s="14">
        <f>Расходы!AA15+Расходы!AA8</f>
        <v>50000</v>
      </c>
      <c r="AB24" s="14">
        <f>Расходы!AB15+Расходы!AB8</f>
        <v>50000</v>
      </c>
      <c r="AC24" s="14">
        <f>Расходы!AC15+Расходы!AC8</f>
        <v>50000</v>
      </c>
      <c r="AD24" s="14">
        <f>Расходы!AD15+Расходы!AD8</f>
        <v>50000</v>
      </c>
      <c r="AE24" s="14">
        <f>Расходы!AE15+Расходы!AE8</f>
        <v>50000</v>
      </c>
      <c r="AF24" s="14">
        <f>Расходы!AF15+Расходы!AF8</f>
        <v>50000</v>
      </c>
      <c r="AG24" s="14">
        <f>Расходы!AG15+Расходы!AG8</f>
        <v>50000</v>
      </c>
      <c r="AH24" s="14">
        <f>Расходы!AH15+Расходы!AH8</f>
        <v>50000</v>
      </c>
      <c r="AI24" s="14">
        <f>Расходы!AI15+Расходы!AI8</f>
        <v>50000</v>
      </c>
      <c r="AJ24" s="14">
        <f>Расходы!AJ15+Расходы!AJ8</f>
        <v>50000</v>
      </c>
      <c r="AK24" s="14">
        <f>Расходы!AK15+Расходы!AK8</f>
        <v>50000</v>
      </c>
      <c r="AL24" s="14">
        <f>Расходы!AL15+Расходы!AL8</f>
        <v>50000</v>
      </c>
    </row>
    <row r="25" spans="1:38">
      <c r="A25" s="14" t="s">
        <v>163</v>
      </c>
      <c r="B25" s="14" t="s">
        <v>164</v>
      </c>
      <c r="C25" s="14">
        <f t="shared" ref="C25:AL25" si="8">C23-C24</f>
        <v>30000</v>
      </c>
      <c r="D25" s="14">
        <f t="shared" si="8"/>
        <v>30000</v>
      </c>
      <c r="E25" s="14">
        <f t="shared" si="8"/>
        <v>30000</v>
      </c>
      <c r="F25" s="14">
        <f t="shared" si="8"/>
        <v>30000</v>
      </c>
      <c r="G25" s="14">
        <f t="shared" si="8"/>
        <v>30000</v>
      </c>
      <c r="H25" s="14">
        <f t="shared" si="8"/>
        <v>30000</v>
      </c>
      <c r="I25" s="14">
        <f t="shared" si="8"/>
        <v>30000</v>
      </c>
      <c r="J25" s="14">
        <f t="shared" si="8"/>
        <v>30000</v>
      </c>
      <c r="K25" s="14">
        <f t="shared" si="8"/>
        <v>30000</v>
      </c>
      <c r="L25" s="14">
        <f t="shared" si="8"/>
        <v>30000</v>
      </c>
      <c r="M25" s="14">
        <f t="shared" si="8"/>
        <v>30000</v>
      </c>
      <c r="N25" s="14">
        <f t="shared" si="8"/>
        <v>30000</v>
      </c>
      <c r="O25" s="14">
        <f t="shared" si="8"/>
        <v>30000</v>
      </c>
      <c r="P25" s="14">
        <f t="shared" si="8"/>
        <v>30000</v>
      </c>
      <c r="Q25" s="14">
        <f t="shared" si="8"/>
        <v>30000</v>
      </c>
      <c r="R25" s="14">
        <f t="shared" si="8"/>
        <v>30000</v>
      </c>
      <c r="S25" s="14">
        <f t="shared" si="8"/>
        <v>30000</v>
      </c>
      <c r="T25" s="14">
        <f t="shared" si="8"/>
        <v>30000</v>
      </c>
      <c r="U25" s="14">
        <f t="shared" si="8"/>
        <v>30000</v>
      </c>
      <c r="V25" s="14">
        <f t="shared" si="8"/>
        <v>30000</v>
      </c>
      <c r="W25" s="14">
        <f t="shared" si="8"/>
        <v>30000</v>
      </c>
      <c r="X25" s="14">
        <f t="shared" si="8"/>
        <v>30000</v>
      </c>
      <c r="Y25" s="14">
        <f t="shared" si="8"/>
        <v>30000</v>
      </c>
      <c r="Z25" s="14">
        <f t="shared" si="8"/>
        <v>30000</v>
      </c>
      <c r="AA25" s="14">
        <f t="shared" si="8"/>
        <v>30000</v>
      </c>
      <c r="AB25" s="14">
        <f t="shared" si="8"/>
        <v>30000</v>
      </c>
      <c r="AC25" s="14">
        <f t="shared" si="8"/>
        <v>30000</v>
      </c>
      <c r="AD25" s="14">
        <f t="shared" si="8"/>
        <v>30000</v>
      </c>
      <c r="AE25" s="14">
        <f t="shared" si="8"/>
        <v>30000</v>
      </c>
      <c r="AF25" s="14">
        <f t="shared" si="8"/>
        <v>30000</v>
      </c>
      <c r="AG25" s="14">
        <f t="shared" si="8"/>
        <v>30000</v>
      </c>
      <c r="AH25" s="14">
        <f t="shared" si="8"/>
        <v>30000</v>
      </c>
      <c r="AI25" s="14">
        <f t="shared" si="8"/>
        <v>30000</v>
      </c>
      <c r="AJ25" s="14">
        <f t="shared" si="8"/>
        <v>30000</v>
      </c>
      <c r="AK25" s="14">
        <f t="shared" si="8"/>
        <v>30000</v>
      </c>
      <c r="AL25" s="14">
        <f t="shared" si="8"/>
        <v>30000</v>
      </c>
    </row>
    <row r="26" spans="1:38">
      <c r="A26" s="14" t="s">
        <v>165</v>
      </c>
      <c r="B26" s="14" t="s">
        <v>176</v>
      </c>
      <c r="C26" s="14">
        <f>БДР!C11</f>
        <v>63999</v>
      </c>
      <c r="D26" s="14">
        <f>БДР!D11</f>
        <v>63999</v>
      </c>
      <c r="E26" s="14">
        <f>БДР!E11</f>
        <v>63999</v>
      </c>
      <c r="F26" s="14">
        <f>БДР!F11</f>
        <v>63999</v>
      </c>
      <c r="G26" s="14">
        <f>БДР!G11</f>
        <v>63999</v>
      </c>
      <c r="H26" s="14">
        <f>БДР!H11</f>
        <v>63999</v>
      </c>
      <c r="I26" s="14">
        <f>БДР!I11</f>
        <v>63999</v>
      </c>
      <c r="J26" s="14">
        <f>БДР!J11</f>
        <v>63999</v>
      </c>
      <c r="K26" s="14">
        <f>БДР!K11</f>
        <v>63999</v>
      </c>
      <c r="L26" s="14">
        <f>БДР!L11</f>
        <v>63999</v>
      </c>
      <c r="M26" s="14">
        <f>БДР!M11</f>
        <v>63999</v>
      </c>
      <c r="N26" s="14">
        <f>БДР!N11</f>
        <v>63999</v>
      </c>
      <c r="O26" s="14">
        <f>БДР!O11</f>
        <v>230000</v>
      </c>
      <c r="P26" s="14">
        <f>БДР!P11</f>
        <v>230000</v>
      </c>
      <c r="Q26" s="14">
        <f>БДР!Q11</f>
        <v>230000</v>
      </c>
      <c r="R26" s="14">
        <f>БДР!R11</f>
        <v>230000</v>
      </c>
      <c r="S26" s="14">
        <f>БДР!S11</f>
        <v>230000</v>
      </c>
      <c r="T26" s="14">
        <f>БДР!T11</f>
        <v>230000</v>
      </c>
      <c r="U26" s="14">
        <f>БДР!U11</f>
        <v>230000</v>
      </c>
      <c r="V26" s="14">
        <f>БДР!V11</f>
        <v>230000</v>
      </c>
      <c r="W26" s="14">
        <f>БДР!W11</f>
        <v>230000</v>
      </c>
      <c r="X26" s="14">
        <f>БДР!X11</f>
        <v>230000</v>
      </c>
      <c r="Y26" s="14">
        <f>БДР!Y11</f>
        <v>230000</v>
      </c>
      <c r="Z26" s="14">
        <f>БДР!Z11</f>
        <v>230000</v>
      </c>
      <c r="AA26" s="14">
        <f>БДР!AA11</f>
        <v>230000</v>
      </c>
      <c r="AB26" s="14">
        <f>БДР!AB11</f>
        <v>230000</v>
      </c>
      <c r="AC26" s="14">
        <f>БДР!AC11</f>
        <v>230000</v>
      </c>
      <c r="AD26" s="14">
        <f>БДР!AD11</f>
        <v>230000</v>
      </c>
      <c r="AE26" s="14">
        <f>БДР!AE11</f>
        <v>230000</v>
      </c>
      <c r="AF26" s="14">
        <f>БДР!AF11</f>
        <v>230000</v>
      </c>
      <c r="AG26" s="14">
        <f>БДР!AG11</f>
        <v>230000</v>
      </c>
      <c r="AH26" s="14">
        <f>БДР!AH11</f>
        <v>230000</v>
      </c>
      <c r="AI26" s="14">
        <f>БДР!AI11</f>
        <v>230000</v>
      </c>
      <c r="AJ26" s="14">
        <f>БДР!AJ11</f>
        <v>230000</v>
      </c>
      <c r="AK26" s="14">
        <f>БДР!AK11</f>
        <v>230000</v>
      </c>
      <c r="AL26" s="14">
        <f>БДР!AL11</f>
        <v>230000</v>
      </c>
    </row>
    <row r="27" spans="1:38">
      <c r="A27" s="14" t="s">
        <v>167</v>
      </c>
      <c r="B27" s="14" t="s">
        <v>168</v>
      </c>
      <c r="C27" s="15">
        <f t="shared" ref="C27:AL27" si="9">C26/C25</f>
        <v>2.1333000000000002</v>
      </c>
      <c r="D27" s="15">
        <f t="shared" si="9"/>
        <v>2.1333000000000002</v>
      </c>
      <c r="E27" s="15">
        <f t="shared" si="9"/>
        <v>2.1333000000000002</v>
      </c>
      <c r="F27" s="15">
        <f t="shared" si="9"/>
        <v>2.1333000000000002</v>
      </c>
      <c r="G27" s="15">
        <f t="shared" si="9"/>
        <v>2.1333000000000002</v>
      </c>
      <c r="H27" s="15">
        <f t="shared" si="9"/>
        <v>2.1333000000000002</v>
      </c>
      <c r="I27" s="15">
        <f t="shared" si="9"/>
        <v>2.1333000000000002</v>
      </c>
      <c r="J27" s="15">
        <f t="shared" si="9"/>
        <v>2.1333000000000002</v>
      </c>
      <c r="K27" s="15">
        <f t="shared" si="9"/>
        <v>2.1333000000000002</v>
      </c>
      <c r="L27" s="15">
        <f t="shared" si="9"/>
        <v>2.1333000000000002</v>
      </c>
      <c r="M27" s="15">
        <f t="shared" si="9"/>
        <v>2.1333000000000002</v>
      </c>
      <c r="N27" s="15">
        <f t="shared" si="9"/>
        <v>2.1333000000000002</v>
      </c>
      <c r="O27" s="15">
        <f t="shared" si="9"/>
        <v>7.666666666666667</v>
      </c>
      <c r="P27" s="15">
        <f t="shared" si="9"/>
        <v>7.666666666666667</v>
      </c>
      <c r="Q27" s="15">
        <f t="shared" si="9"/>
        <v>7.666666666666667</v>
      </c>
      <c r="R27" s="15">
        <f t="shared" si="9"/>
        <v>7.666666666666667</v>
      </c>
      <c r="S27" s="15">
        <f t="shared" si="9"/>
        <v>7.666666666666667</v>
      </c>
      <c r="T27" s="15">
        <f t="shared" si="9"/>
        <v>7.666666666666667</v>
      </c>
      <c r="U27" s="15">
        <f t="shared" si="9"/>
        <v>7.666666666666667</v>
      </c>
      <c r="V27" s="15">
        <f t="shared" si="9"/>
        <v>7.666666666666667</v>
      </c>
      <c r="W27" s="15">
        <f t="shared" si="9"/>
        <v>7.666666666666667</v>
      </c>
      <c r="X27" s="15">
        <f t="shared" si="9"/>
        <v>7.666666666666667</v>
      </c>
      <c r="Y27" s="15">
        <f t="shared" si="9"/>
        <v>7.666666666666667</v>
      </c>
      <c r="Z27" s="15">
        <f t="shared" si="9"/>
        <v>7.666666666666667</v>
      </c>
      <c r="AA27" s="15">
        <f t="shared" si="9"/>
        <v>7.666666666666667</v>
      </c>
      <c r="AB27" s="15">
        <f t="shared" si="9"/>
        <v>7.666666666666667</v>
      </c>
      <c r="AC27" s="15">
        <f t="shared" si="9"/>
        <v>7.666666666666667</v>
      </c>
      <c r="AD27" s="15">
        <f t="shared" si="9"/>
        <v>7.666666666666667</v>
      </c>
      <c r="AE27" s="15">
        <f t="shared" si="9"/>
        <v>7.666666666666667</v>
      </c>
      <c r="AF27" s="15">
        <f t="shared" si="9"/>
        <v>7.666666666666667</v>
      </c>
      <c r="AG27" s="15">
        <f t="shared" si="9"/>
        <v>7.666666666666667</v>
      </c>
      <c r="AH27" s="15">
        <f t="shared" si="9"/>
        <v>7.666666666666667</v>
      </c>
      <c r="AI27" s="15">
        <f t="shared" si="9"/>
        <v>7.666666666666667</v>
      </c>
      <c r="AJ27" s="15">
        <f t="shared" si="9"/>
        <v>7.666666666666667</v>
      </c>
      <c r="AK27" s="15">
        <f t="shared" si="9"/>
        <v>7.666666666666667</v>
      </c>
      <c r="AL27" s="15">
        <f t="shared" si="9"/>
        <v>7.666666666666667</v>
      </c>
    </row>
    <row r="28" spans="1:38">
      <c r="A28" s="14" t="s">
        <v>169</v>
      </c>
      <c r="B28" s="14" t="s">
        <v>170</v>
      </c>
      <c r="C28" s="15">
        <f t="shared" ref="C28:AL28" si="10">C27*C23</f>
        <v>170664.00000000003</v>
      </c>
      <c r="D28" s="15">
        <f t="shared" si="10"/>
        <v>170664.00000000003</v>
      </c>
      <c r="E28" s="15">
        <f t="shared" si="10"/>
        <v>170664.00000000003</v>
      </c>
      <c r="F28" s="15">
        <f t="shared" si="10"/>
        <v>170664.00000000003</v>
      </c>
      <c r="G28" s="15">
        <f t="shared" si="10"/>
        <v>170664.00000000003</v>
      </c>
      <c r="H28" s="15">
        <f t="shared" si="10"/>
        <v>170664.00000000003</v>
      </c>
      <c r="I28" s="15">
        <f t="shared" si="10"/>
        <v>170664.00000000003</v>
      </c>
      <c r="J28" s="15">
        <f t="shared" si="10"/>
        <v>170664.00000000003</v>
      </c>
      <c r="K28" s="15">
        <f t="shared" si="10"/>
        <v>170664.00000000003</v>
      </c>
      <c r="L28" s="15">
        <f t="shared" si="10"/>
        <v>170664.00000000003</v>
      </c>
      <c r="M28" s="15">
        <f t="shared" si="10"/>
        <v>170664.00000000003</v>
      </c>
      <c r="N28" s="15">
        <f t="shared" si="10"/>
        <v>170664.00000000003</v>
      </c>
      <c r="O28" s="15">
        <f t="shared" si="10"/>
        <v>613333.33333333337</v>
      </c>
      <c r="P28" s="15">
        <f t="shared" si="10"/>
        <v>613333.33333333337</v>
      </c>
      <c r="Q28" s="15">
        <f t="shared" si="10"/>
        <v>613333.33333333337</v>
      </c>
      <c r="R28" s="15">
        <f t="shared" si="10"/>
        <v>613333.33333333337</v>
      </c>
      <c r="S28" s="15">
        <f t="shared" si="10"/>
        <v>613333.33333333337</v>
      </c>
      <c r="T28" s="15">
        <f t="shared" si="10"/>
        <v>613333.33333333337</v>
      </c>
      <c r="U28" s="15">
        <f t="shared" si="10"/>
        <v>613333.33333333337</v>
      </c>
      <c r="V28" s="15">
        <f t="shared" si="10"/>
        <v>613333.33333333337</v>
      </c>
      <c r="W28" s="15">
        <f t="shared" si="10"/>
        <v>613333.33333333337</v>
      </c>
      <c r="X28" s="15">
        <f t="shared" si="10"/>
        <v>613333.33333333337</v>
      </c>
      <c r="Y28" s="15">
        <f t="shared" si="10"/>
        <v>613333.33333333337</v>
      </c>
      <c r="Z28" s="15">
        <f t="shared" si="10"/>
        <v>613333.33333333337</v>
      </c>
      <c r="AA28" s="15">
        <f t="shared" si="10"/>
        <v>613333.33333333337</v>
      </c>
      <c r="AB28" s="15">
        <f t="shared" si="10"/>
        <v>613333.33333333337</v>
      </c>
      <c r="AC28" s="15">
        <f t="shared" si="10"/>
        <v>613333.33333333337</v>
      </c>
      <c r="AD28" s="15">
        <f t="shared" si="10"/>
        <v>613333.33333333337</v>
      </c>
      <c r="AE28" s="15">
        <f t="shared" si="10"/>
        <v>613333.33333333337</v>
      </c>
      <c r="AF28" s="15">
        <f t="shared" si="10"/>
        <v>613333.33333333337</v>
      </c>
      <c r="AG28" s="15">
        <f t="shared" si="10"/>
        <v>613333.33333333337</v>
      </c>
      <c r="AH28" s="15">
        <f t="shared" si="10"/>
        <v>613333.33333333337</v>
      </c>
      <c r="AI28" s="15">
        <f t="shared" si="10"/>
        <v>613333.33333333337</v>
      </c>
      <c r="AJ28" s="15">
        <f t="shared" si="10"/>
        <v>613333.33333333337</v>
      </c>
      <c r="AK28" s="15">
        <f t="shared" si="10"/>
        <v>613333.33333333337</v>
      </c>
      <c r="AL28" s="15">
        <f t="shared" si="10"/>
        <v>613333.33333333337</v>
      </c>
    </row>
    <row r="29" spans="1:38">
      <c r="A29" s="14" t="s">
        <v>171</v>
      </c>
      <c r="B29" s="14" t="s">
        <v>172</v>
      </c>
      <c r="C29" s="14">
        <f>Доходы!C3+Доходы!C7</f>
        <v>0</v>
      </c>
      <c r="D29" s="14">
        <f>Доходы!D3+Доходы!D7</f>
        <v>0</v>
      </c>
      <c r="E29" s="14">
        <f>Доходы!E3+Доходы!E7</f>
        <v>0</v>
      </c>
      <c r="F29" s="14">
        <f>Доходы!F3+Доходы!F7</f>
        <v>0</v>
      </c>
      <c r="G29" s="14">
        <f>Доходы!G3+Доходы!G7</f>
        <v>0</v>
      </c>
      <c r="H29" s="14">
        <f>Доходы!H3+Доходы!H7</f>
        <v>0</v>
      </c>
      <c r="I29" s="14">
        <f>Доходы!I3+Доходы!I7</f>
        <v>0</v>
      </c>
      <c r="J29" s="14">
        <f>Доходы!J3+Доходы!J7</f>
        <v>0</v>
      </c>
      <c r="K29" s="14">
        <f>Доходы!K3+Доходы!K7</f>
        <v>0</v>
      </c>
      <c r="L29" s="14">
        <f>Доходы!L3+Доходы!L7</f>
        <v>0</v>
      </c>
      <c r="M29" s="14">
        <f>Доходы!M3+Доходы!M7</f>
        <v>0</v>
      </c>
      <c r="N29" s="14">
        <f>Доходы!N3+Доходы!N7</f>
        <v>0</v>
      </c>
      <c r="O29" s="14">
        <f>Доходы!O3+Доходы!O7</f>
        <v>13</v>
      </c>
      <c r="P29" s="14">
        <f>Доходы!P3+Доходы!P7</f>
        <v>20</v>
      </c>
      <c r="Q29" s="14">
        <f>Доходы!Q3+Доходы!Q7</f>
        <v>40</v>
      </c>
      <c r="R29" s="14">
        <f>Доходы!R3+Доходы!R7</f>
        <v>40</v>
      </c>
      <c r="S29" s="14">
        <f>Доходы!S3+Доходы!S7</f>
        <v>40</v>
      </c>
      <c r="T29" s="14">
        <f>Доходы!T3+Доходы!T7</f>
        <v>40</v>
      </c>
      <c r="U29" s="14">
        <f>Доходы!U3+Доходы!U7</f>
        <v>40</v>
      </c>
      <c r="V29" s="14">
        <f>Доходы!V3+Доходы!V7</f>
        <v>40</v>
      </c>
      <c r="W29" s="14">
        <f>Доходы!W3+Доходы!W7</f>
        <v>40</v>
      </c>
      <c r="X29" s="14">
        <f>Доходы!X3+Доходы!X7</f>
        <v>40</v>
      </c>
      <c r="Y29" s="14">
        <f>Доходы!Y3+Доходы!Y7</f>
        <v>50</v>
      </c>
      <c r="Z29" s="14">
        <f>Доходы!Z3+Доходы!Z7</f>
        <v>50</v>
      </c>
      <c r="AA29" s="14">
        <f>Доходы!AA3+Доходы!AA7</f>
        <v>68</v>
      </c>
      <c r="AB29" s="14">
        <f>Доходы!AB3+Доходы!AB7</f>
        <v>58</v>
      </c>
      <c r="AC29" s="14">
        <f>Доходы!AC3+Доходы!AC7</f>
        <v>58</v>
      </c>
      <c r="AD29" s="14">
        <f>Доходы!AD3+Доходы!AD7</f>
        <v>58</v>
      </c>
      <c r="AE29" s="14">
        <f>Доходы!AE3+Доходы!AE7</f>
        <v>58</v>
      </c>
      <c r="AF29" s="14">
        <f>Доходы!AF3+Доходы!AF7</f>
        <v>58</v>
      </c>
      <c r="AG29" s="14">
        <f>Доходы!AG3+Доходы!AG7</f>
        <v>58</v>
      </c>
      <c r="AH29" s="14">
        <f>Доходы!AH3+Доходы!AH7</f>
        <v>58</v>
      </c>
      <c r="AI29" s="14">
        <f>Доходы!AI3+Доходы!AI7</f>
        <v>58</v>
      </c>
      <c r="AJ29" s="14">
        <f>Доходы!AJ3+Доходы!AJ7</f>
        <v>58</v>
      </c>
      <c r="AK29" s="14">
        <f>Доходы!AK3+Доходы!AK7</f>
        <v>70</v>
      </c>
      <c r="AL29" s="14">
        <f>Доходы!AL3+Доходы!AL7</f>
        <v>70</v>
      </c>
    </row>
    <row r="30" spans="1:38">
      <c r="A30" s="14" t="s">
        <v>173</v>
      </c>
      <c r="B30" s="14" t="s">
        <v>174</v>
      </c>
      <c r="C30" s="16">
        <f t="shared" ref="C30:AL30" si="11">C29-C27</f>
        <v>-2.1333000000000002</v>
      </c>
      <c r="D30" s="16">
        <f t="shared" si="11"/>
        <v>-2.1333000000000002</v>
      </c>
      <c r="E30" s="16">
        <f t="shared" si="11"/>
        <v>-2.1333000000000002</v>
      </c>
      <c r="F30" s="16">
        <f t="shared" si="11"/>
        <v>-2.1333000000000002</v>
      </c>
      <c r="G30" s="16">
        <f t="shared" si="11"/>
        <v>-2.1333000000000002</v>
      </c>
      <c r="H30" s="16">
        <f t="shared" si="11"/>
        <v>-2.1333000000000002</v>
      </c>
      <c r="I30" s="16">
        <f t="shared" si="11"/>
        <v>-2.1333000000000002</v>
      </c>
      <c r="J30" s="16">
        <f t="shared" si="11"/>
        <v>-2.1333000000000002</v>
      </c>
      <c r="K30" s="16">
        <f t="shared" si="11"/>
        <v>-2.1333000000000002</v>
      </c>
      <c r="L30" s="16">
        <f t="shared" si="11"/>
        <v>-2.1333000000000002</v>
      </c>
      <c r="M30" s="16">
        <f t="shared" si="11"/>
        <v>-2.1333000000000002</v>
      </c>
      <c r="N30" s="16">
        <f t="shared" si="11"/>
        <v>-2.1333000000000002</v>
      </c>
      <c r="O30" s="16">
        <f t="shared" si="11"/>
        <v>5.333333333333333</v>
      </c>
      <c r="P30" s="16">
        <f t="shared" si="11"/>
        <v>12.333333333333332</v>
      </c>
      <c r="Q30" s="16">
        <f t="shared" si="11"/>
        <v>32.333333333333336</v>
      </c>
      <c r="R30" s="16">
        <f t="shared" si="11"/>
        <v>32.333333333333336</v>
      </c>
      <c r="S30" s="16">
        <f t="shared" si="11"/>
        <v>32.333333333333336</v>
      </c>
      <c r="T30" s="16">
        <f t="shared" si="11"/>
        <v>32.333333333333336</v>
      </c>
      <c r="U30" s="16">
        <f t="shared" si="11"/>
        <v>32.333333333333336</v>
      </c>
      <c r="V30" s="16">
        <f t="shared" si="11"/>
        <v>32.333333333333336</v>
      </c>
      <c r="W30" s="16">
        <f t="shared" si="11"/>
        <v>32.333333333333336</v>
      </c>
      <c r="X30" s="16">
        <f t="shared" si="11"/>
        <v>32.333333333333336</v>
      </c>
      <c r="Y30" s="16">
        <f t="shared" si="11"/>
        <v>42.333333333333336</v>
      </c>
      <c r="Z30" s="16">
        <f t="shared" si="11"/>
        <v>42.333333333333336</v>
      </c>
      <c r="AA30" s="16">
        <f t="shared" si="11"/>
        <v>60.333333333333336</v>
      </c>
      <c r="AB30" s="16">
        <f t="shared" si="11"/>
        <v>50.333333333333336</v>
      </c>
      <c r="AC30" s="16">
        <f t="shared" si="11"/>
        <v>50.333333333333336</v>
      </c>
      <c r="AD30" s="16">
        <f t="shared" si="11"/>
        <v>50.333333333333336</v>
      </c>
      <c r="AE30" s="16">
        <f t="shared" si="11"/>
        <v>50.333333333333336</v>
      </c>
      <c r="AF30" s="16">
        <f t="shared" si="11"/>
        <v>50.333333333333336</v>
      </c>
      <c r="AG30" s="16">
        <f t="shared" si="11"/>
        <v>50.333333333333336</v>
      </c>
      <c r="AH30" s="16">
        <f t="shared" si="11"/>
        <v>50.333333333333336</v>
      </c>
      <c r="AI30" s="16">
        <f t="shared" si="11"/>
        <v>50.333333333333336</v>
      </c>
      <c r="AJ30" s="16">
        <f t="shared" si="11"/>
        <v>50.333333333333336</v>
      </c>
      <c r="AK30" s="16">
        <f t="shared" si="11"/>
        <v>62.333333333333336</v>
      </c>
      <c r="AL30" s="16">
        <f t="shared" si="11"/>
        <v>62.333333333333336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L14"/>
  <sheetViews>
    <sheetView workbookViewId="0">
      <selection activeCell="L16" sqref="L15:L16"/>
    </sheetView>
  </sheetViews>
  <sheetFormatPr defaultColWidth="12.5703125" defaultRowHeight="15.75" customHeight="1"/>
  <cols>
    <col min="1" max="1" width="43.140625" customWidth="1"/>
    <col min="2" max="2" width="39.85546875" customWidth="1"/>
    <col min="3" max="3" width="33.42578125" customWidth="1"/>
  </cols>
  <sheetData>
    <row r="1" spans="1:38" ht="12.75">
      <c r="A1" s="1" t="s">
        <v>42</v>
      </c>
      <c r="B1" s="14" t="s">
        <v>87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</row>
    <row r="2" spans="1:38" ht="12.75">
      <c r="A2" s="1" t="s">
        <v>178</v>
      </c>
      <c r="B2" s="14" t="s">
        <v>179</v>
      </c>
      <c r="C2" s="1">
        <f>БДР!C14-Инвестиции!C5</f>
        <v>-763999</v>
      </c>
      <c r="D2" s="1">
        <f>БДР!D14-Инвестиции!D5</f>
        <v>-63999</v>
      </c>
      <c r="E2" s="1">
        <f>БДР!E14-Инвестиции!E5</f>
        <v>-63999</v>
      </c>
      <c r="F2" s="1">
        <f>БДР!F14-Инвестиции!F5</f>
        <v>-63999</v>
      </c>
      <c r="G2" s="1">
        <f>БДР!G14-Инвестиции!G5</f>
        <v>-63999</v>
      </c>
      <c r="H2" s="1">
        <f>БДР!H14-Инвестиции!H5</f>
        <v>-63999</v>
      </c>
      <c r="I2" s="1">
        <f>БДР!I14-Инвестиции!I5</f>
        <v>-63999</v>
      </c>
      <c r="J2" s="1">
        <f>БДР!J14-Инвестиции!J5</f>
        <v>-63999</v>
      </c>
      <c r="K2" s="1">
        <f>БДР!K14-Инвестиции!K5</f>
        <v>-63999</v>
      </c>
      <c r="L2" s="1">
        <f>БДР!L14-Инвестиции!L5</f>
        <v>-63999</v>
      </c>
      <c r="M2" s="1">
        <f>БДР!M14-Инвестиции!M5</f>
        <v>-63999</v>
      </c>
      <c r="N2" s="1">
        <f>БДР!N14-Инвестиции!N5</f>
        <v>-63999</v>
      </c>
      <c r="O2" s="1">
        <f>БДР!O14-Инвестиции!O5</f>
        <v>-70000</v>
      </c>
      <c r="P2" s="1">
        <f>БДР!P14-Инвестиции!P5</f>
        <v>17000</v>
      </c>
      <c r="Q2" s="1">
        <f>БДР!Q14-Инвестиции!Q5</f>
        <v>229500</v>
      </c>
      <c r="R2" s="1">
        <f>БДР!R14-Инвестиции!R5</f>
        <v>229500</v>
      </c>
      <c r="S2" s="1">
        <f>БДР!S14-Инвестиции!S5</f>
        <v>229500</v>
      </c>
      <c r="T2" s="1">
        <f>БДР!T14-Инвестиции!T5</f>
        <v>229500</v>
      </c>
      <c r="U2" s="1">
        <f>БДР!U14-Инвестиции!U5</f>
        <v>229500</v>
      </c>
      <c r="V2" s="1">
        <f>БДР!V14-Инвестиции!V5</f>
        <v>229500</v>
      </c>
      <c r="W2" s="1">
        <f>БДР!W14-Инвестиции!W5</f>
        <v>229500</v>
      </c>
      <c r="X2" s="1">
        <f>БДР!X14-Инвестиции!X5</f>
        <v>229500</v>
      </c>
      <c r="Y2" s="1">
        <f>БДР!Y14-Инвестиции!Y5</f>
        <v>357000</v>
      </c>
      <c r="Z2" s="1">
        <f>БДР!Z14-Инвестиции!Z5</f>
        <v>357000</v>
      </c>
      <c r="AA2" s="1">
        <f>БДР!AA14-Инвестиции!AA5</f>
        <v>535500.00000000023</v>
      </c>
      <c r="AB2" s="1">
        <f>БДР!AB14-Инвестиции!AB5</f>
        <v>450500.00000000023</v>
      </c>
      <c r="AC2" s="1">
        <f>БДР!AC14-Инвестиции!AC5</f>
        <v>450500.00000000023</v>
      </c>
      <c r="AD2" s="1">
        <f>БДР!AD14-Инвестиции!AD5</f>
        <v>450500.00000000023</v>
      </c>
      <c r="AE2" s="1">
        <f>БДР!AE14-Инвестиции!AE5</f>
        <v>450500.00000000023</v>
      </c>
      <c r="AF2" s="1">
        <f>БДР!AF14-Инвестиции!AF5</f>
        <v>450500.00000000023</v>
      </c>
      <c r="AG2" s="1">
        <f>БДР!AG14-Инвестиции!AG5</f>
        <v>450500.00000000023</v>
      </c>
      <c r="AH2" s="1">
        <f>БДР!AH14-Инвестиции!AH5</f>
        <v>450500.00000000023</v>
      </c>
      <c r="AI2" s="1">
        <f>БДР!AI14-Инвестиции!AI5</f>
        <v>450500.00000000023</v>
      </c>
      <c r="AJ2" s="1">
        <f>БДР!AJ14-Инвестиции!AJ5</f>
        <v>450500.00000000023</v>
      </c>
      <c r="AK2" s="1">
        <f>БДР!AK14-Инвестиции!AK5</f>
        <v>569500</v>
      </c>
      <c r="AL2" s="1">
        <f>БДР!AL14-Инвестиции!AL5</f>
        <v>569500</v>
      </c>
    </row>
    <row r="3" spans="1:38" ht="12.75">
      <c r="A3" s="1" t="s">
        <v>180</v>
      </c>
      <c r="B3" s="14" t="s">
        <v>181</v>
      </c>
      <c r="C3" s="18">
        <v>2.0799999999999999E-2</v>
      </c>
      <c r="D3" s="18">
        <v>2.0799999999999999E-2</v>
      </c>
      <c r="E3" s="18">
        <v>2.0799999999999999E-2</v>
      </c>
      <c r="F3" s="18">
        <v>2.0799999999999999E-2</v>
      </c>
      <c r="G3" s="18">
        <v>2.0799999999999999E-2</v>
      </c>
      <c r="H3" s="18">
        <v>2.0799999999999999E-2</v>
      </c>
      <c r="I3" s="18">
        <v>2.0799999999999999E-2</v>
      </c>
      <c r="J3" s="18">
        <v>2.0799999999999999E-2</v>
      </c>
      <c r="K3" s="18">
        <v>2.0799999999999999E-2</v>
      </c>
      <c r="L3" s="18">
        <v>2.0799999999999999E-2</v>
      </c>
      <c r="M3" s="18">
        <v>2.0799999999999999E-2</v>
      </c>
      <c r="N3" s="18">
        <v>2.0799999999999999E-2</v>
      </c>
      <c r="O3" s="18">
        <v>2.0799999999999999E-2</v>
      </c>
      <c r="P3" s="18">
        <v>2.0799999999999999E-2</v>
      </c>
      <c r="Q3" s="18">
        <v>2.0799999999999999E-2</v>
      </c>
      <c r="R3" s="18">
        <v>2.0799999999999999E-2</v>
      </c>
      <c r="S3" s="18">
        <v>2.0799999999999999E-2</v>
      </c>
      <c r="T3" s="18">
        <v>2.0799999999999999E-2</v>
      </c>
      <c r="U3" s="18">
        <v>2.0799999999999999E-2</v>
      </c>
      <c r="V3" s="18">
        <v>2.0799999999999999E-2</v>
      </c>
      <c r="W3" s="18">
        <v>2.0799999999999999E-2</v>
      </c>
      <c r="X3" s="18">
        <v>2.0799999999999999E-2</v>
      </c>
      <c r="Y3" s="18">
        <v>2.0799999999999999E-2</v>
      </c>
      <c r="Z3" s="18">
        <v>2.0799999999999999E-2</v>
      </c>
      <c r="AA3" s="18">
        <v>2.0799999999999999E-2</v>
      </c>
      <c r="AB3" s="18">
        <v>2.0799999999999999E-2</v>
      </c>
      <c r="AC3" s="18">
        <v>2.0799999999999999E-2</v>
      </c>
      <c r="AD3" s="18">
        <v>2.0799999999999999E-2</v>
      </c>
      <c r="AE3" s="18">
        <v>2.0799999999999999E-2</v>
      </c>
      <c r="AF3" s="18">
        <v>2.0799999999999999E-2</v>
      </c>
      <c r="AG3" s="18">
        <v>2.0799999999999999E-2</v>
      </c>
      <c r="AH3" s="18">
        <v>2.0799999999999999E-2</v>
      </c>
      <c r="AI3" s="18">
        <v>2.0799999999999999E-2</v>
      </c>
      <c r="AJ3" s="18">
        <v>2.0799999999999999E-2</v>
      </c>
      <c r="AK3" s="18">
        <v>2.0799999999999999E-2</v>
      </c>
      <c r="AL3" s="18">
        <v>2.0799999999999999E-2</v>
      </c>
    </row>
    <row r="4" spans="1:38" ht="12.75">
      <c r="A4" s="1" t="s">
        <v>182</v>
      </c>
      <c r="B4" s="14" t="s">
        <v>183</v>
      </c>
      <c r="C4" s="19">
        <f t="shared" ref="C4:AL4" si="0">1/((1+2.08%)^C1)</f>
        <v>0.97962382445141072</v>
      </c>
      <c r="D4" s="19">
        <f t="shared" si="0"/>
        <v>0.95966283743280834</v>
      </c>
      <c r="E4" s="19">
        <f t="shared" si="0"/>
        <v>0.94010857898982014</v>
      </c>
      <c r="F4" s="19">
        <f t="shared" si="0"/>
        <v>0.92095276154958861</v>
      </c>
      <c r="G4" s="19">
        <f t="shared" si="0"/>
        <v>0.90218726640829616</v>
      </c>
      <c r="H4" s="19">
        <f t="shared" si="0"/>
        <v>0.88380414029025867</v>
      </c>
      <c r="I4" s="19">
        <f t="shared" si="0"/>
        <v>0.8657955919771344</v>
      </c>
      <c r="J4" s="19">
        <f t="shared" si="0"/>
        <v>0.84815398900581351</v>
      </c>
      <c r="K4" s="19">
        <f t="shared" si="0"/>
        <v>0.83087185443359479</v>
      </c>
      <c r="L4" s="19">
        <f t="shared" si="0"/>
        <v>0.8139418636692739</v>
      </c>
      <c r="M4" s="19">
        <f t="shared" si="0"/>
        <v>0.7973568413688028</v>
      </c>
      <c r="N4" s="19">
        <f t="shared" si="0"/>
        <v>0.78110975839420349</v>
      </c>
      <c r="O4" s="19">
        <f t="shared" si="0"/>
        <v>0.76519372883444692</v>
      </c>
      <c r="P4" s="19">
        <f t="shared" si="0"/>
        <v>0.7496020070870365</v>
      </c>
      <c r="Q4" s="19">
        <f t="shared" si="0"/>
        <v>0.73432798499905616</v>
      </c>
      <c r="R4" s="19">
        <f t="shared" si="0"/>
        <v>0.71936518906647362</v>
      </c>
      <c r="S4" s="19">
        <f t="shared" si="0"/>
        <v>0.70470727769051111</v>
      </c>
      <c r="T4" s="19">
        <f t="shared" si="0"/>
        <v>0.69034803848992077</v>
      </c>
      <c r="U4" s="19">
        <f t="shared" si="0"/>
        <v>0.67628138566802587</v>
      </c>
      <c r="V4" s="19">
        <f t="shared" si="0"/>
        <v>0.66250135743341088</v>
      </c>
      <c r="W4" s="19">
        <f t="shared" si="0"/>
        <v>0.64900211347316905</v>
      </c>
      <c r="X4" s="19">
        <f t="shared" si="0"/>
        <v>0.63577793247763414</v>
      </c>
      <c r="Y4" s="19">
        <f t="shared" si="0"/>
        <v>0.62282320971555083</v>
      </c>
      <c r="Z4" s="19">
        <f t="shared" si="0"/>
        <v>0.61013245465865096</v>
      </c>
      <c r="AA4" s="19">
        <f t="shared" si="0"/>
        <v>0.59770028865463454</v>
      </c>
      <c r="AB4" s="19">
        <f t="shared" si="0"/>
        <v>0.58552144264756523</v>
      </c>
      <c r="AC4" s="19">
        <f t="shared" si="0"/>
        <v>0.57359075494471512</v>
      </c>
      <c r="AD4" s="19">
        <f t="shared" si="0"/>
        <v>0.56190316902891368</v>
      </c>
      <c r="AE4" s="19">
        <f t="shared" si="0"/>
        <v>0.55045373141547194</v>
      </c>
      <c r="AF4" s="19">
        <f t="shared" si="0"/>
        <v>0.53923758955277412</v>
      </c>
      <c r="AG4" s="19">
        <f t="shared" si="0"/>
        <v>0.52824998976564863</v>
      </c>
      <c r="AH4" s="19">
        <f t="shared" si="0"/>
        <v>0.5174862752406435</v>
      </c>
      <c r="AI4" s="19">
        <f t="shared" si="0"/>
        <v>0.50694188405235452</v>
      </c>
      <c r="AJ4" s="19">
        <f t="shared" si="0"/>
        <v>0.49661234722997111</v>
      </c>
      <c r="AK4" s="19">
        <f t="shared" si="0"/>
        <v>0.48649328686321619</v>
      </c>
      <c r="AL4" s="19">
        <f t="shared" si="0"/>
        <v>0.47658041424688108</v>
      </c>
    </row>
    <row r="5" spans="1:38" ht="12.75">
      <c r="A5" s="1" t="s">
        <v>184</v>
      </c>
      <c r="B5" s="14" t="s">
        <v>185</v>
      </c>
      <c r="C5" s="20">
        <f t="shared" ref="C5:AL5" si="1">C2*C4</f>
        <v>-748431.62225705339</v>
      </c>
      <c r="D5" s="20">
        <f t="shared" si="1"/>
        <v>-61417.461932862301</v>
      </c>
      <c r="E5" s="20">
        <f t="shared" si="1"/>
        <v>-60166.0089467695</v>
      </c>
      <c r="F5" s="20">
        <f t="shared" si="1"/>
        <v>-58940.055786412122</v>
      </c>
      <c r="G5" s="20">
        <f t="shared" si="1"/>
        <v>-57739.082862864547</v>
      </c>
      <c r="H5" s="20">
        <f t="shared" si="1"/>
        <v>-56562.581174436265</v>
      </c>
      <c r="I5" s="20">
        <f t="shared" si="1"/>
        <v>-55410.052090944628</v>
      </c>
      <c r="J5" s="20">
        <f t="shared" si="1"/>
        <v>-54281.00714238306</v>
      </c>
      <c r="K5" s="20">
        <f t="shared" si="1"/>
        <v>-53174.967811895636</v>
      </c>
      <c r="L5" s="20">
        <f t="shared" si="1"/>
        <v>-52091.465332969863</v>
      </c>
      <c r="M5" s="20">
        <f t="shared" si="1"/>
        <v>-51030.04049076201</v>
      </c>
      <c r="N5" s="20">
        <f t="shared" si="1"/>
        <v>-49990.243427470632</v>
      </c>
      <c r="O5" s="20">
        <f t="shared" si="1"/>
        <v>-53563.561018411281</v>
      </c>
      <c r="P5" s="20">
        <f t="shared" si="1"/>
        <v>12743.234120479621</v>
      </c>
      <c r="Q5" s="20">
        <f t="shared" si="1"/>
        <v>168528.2725572834</v>
      </c>
      <c r="R5" s="20">
        <f t="shared" si="1"/>
        <v>165094.3108907557</v>
      </c>
      <c r="S5" s="20">
        <f t="shared" si="1"/>
        <v>161730.32022997231</v>
      </c>
      <c r="T5" s="20">
        <f t="shared" si="1"/>
        <v>158434.87483343683</v>
      </c>
      <c r="U5" s="20">
        <f t="shared" si="1"/>
        <v>155206.57801081194</v>
      </c>
      <c r="V5" s="20">
        <f t="shared" si="1"/>
        <v>152044.0615309678</v>
      </c>
      <c r="W5" s="20">
        <f t="shared" si="1"/>
        <v>148945.9850420923</v>
      </c>
      <c r="X5" s="20">
        <f t="shared" si="1"/>
        <v>145911.03550361702</v>
      </c>
      <c r="Y5" s="20">
        <f t="shared" si="1"/>
        <v>222347.88586845165</v>
      </c>
      <c r="Z5" s="20">
        <f t="shared" si="1"/>
        <v>217817.28631313838</v>
      </c>
      <c r="AA5" s="20">
        <f t="shared" si="1"/>
        <v>320068.50457455695</v>
      </c>
      <c r="AB5" s="20">
        <f t="shared" si="1"/>
        <v>263777.4099127283</v>
      </c>
      <c r="AC5" s="20">
        <f t="shared" si="1"/>
        <v>258402.6351025943</v>
      </c>
      <c r="AD5" s="20">
        <f t="shared" si="1"/>
        <v>253137.37764752575</v>
      </c>
      <c r="AE5" s="20">
        <f t="shared" si="1"/>
        <v>247979.40600267024</v>
      </c>
      <c r="AF5" s="20">
        <f t="shared" si="1"/>
        <v>242926.53409352485</v>
      </c>
      <c r="AG5" s="20">
        <f t="shared" si="1"/>
        <v>237976.62038942482</v>
      </c>
      <c r="AH5" s="20">
        <f t="shared" si="1"/>
        <v>233127.56699591002</v>
      </c>
      <c r="AI5" s="20">
        <f t="shared" si="1"/>
        <v>228377.31876558583</v>
      </c>
      <c r="AJ5" s="20">
        <f t="shared" si="1"/>
        <v>223723.86242710211</v>
      </c>
      <c r="AK5" s="20">
        <f t="shared" si="1"/>
        <v>277057.92686860164</v>
      </c>
      <c r="AL5" s="20">
        <f t="shared" si="1"/>
        <v>271412.54591359879</v>
      </c>
    </row>
    <row r="6" spans="1:38" ht="25.5">
      <c r="A6" s="1" t="s">
        <v>186</v>
      </c>
      <c r="B6" s="14" t="s">
        <v>187</v>
      </c>
      <c r="C6" s="20">
        <f>C5</f>
        <v>-748431.62225705339</v>
      </c>
      <c r="D6" s="20">
        <f t="shared" ref="D6:AL6" si="2">D5+C6</f>
        <v>-809849.08418991568</v>
      </c>
      <c r="E6" s="20">
        <f t="shared" si="2"/>
        <v>-870015.0931366852</v>
      </c>
      <c r="F6" s="20">
        <f t="shared" si="2"/>
        <v>-928955.14892309729</v>
      </c>
      <c r="G6" s="20">
        <f t="shared" si="2"/>
        <v>-986694.23178596189</v>
      </c>
      <c r="H6" s="20">
        <f t="shared" si="2"/>
        <v>-1043256.8129603982</v>
      </c>
      <c r="I6" s="20">
        <f t="shared" si="2"/>
        <v>-1098666.8650513429</v>
      </c>
      <c r="J6" s="20">
        <f t="shared" si="2"/>
        <v>-1152947.872193726</v>
      </c>
      <c r="K6" s="20">
        <f t="shared" si="2"/>
        <v>-1206122.8400056215</v>
      </c>
      <c r="L6" s="20">
        <f t="shared" si="2"/>
        <v>-1258214.3053385913</v>
      </c>
      <c r="M6" s="20">
        <f t="shared" si="2"/>
        <v>-1309244.3458293534</v>
      </c>
      <c r="N6" s="20">
        <f t="shared" si="2"/>
        <v>-1359234.589256824</v>
      </c>
      <c r="O6" s="20">
        <f t="shared" si="2"/>
        <v>-1412798.1502752353</v>
      </c>
      <c r="P6" s="20">
        <f t="shared" si="2"/>
        <v>-1400054.9161547557</v>
      </c>
      <c r="Q6" s="20">
        <f t="shared" si="2"/>
        <v>-1231526.6435974725</v>
      </c>
      <c r="R6" s="20">
        <f t="shared" si="2"/>
        <v>-1066432.3327067168</v>
      </c>
      <c r="S6" s="20">
        <f t="shared" si="2"/>
        <v>-904702.0124767446</v>
      </c>
      <c r="T6" s="20">
        <f t="shared" si="2"/>
        <v>-746267.1376433078</v>
      </c>
      <c r="U6" s="20">
        <f t="shared" si="2"/>
        <v>-591060.55963249586</v>
      </c>
      <c r="V6" s="20">
        <f t="shared" si="2"/>
        <v>-439016.49810152804</v>
      </c>
      <c r="W6" s="20">
        <f t="shared" si="2"/>
        <v>-290070.51305943576</v>
      </c>
      <c r="X6" s="20">
        <f t="shared" si="2"/>
        <v>-144159.47755581874</v>
      </c>
      <c r="Y6" s="20">
        <f t="shared" si="2"/>
        <v>78188.408312632906</v>
      </c>
      <c r="Z6" s="20">
        <f t="shared" si="2"/>
        <v>296005.69462577126</v>
      </c>
      <c r="AA6" s="20">
        <f t="shared" si="2"/>
        <v>616074.19920032821</v>
      </c>
      <c r="AB6" s="20">
        <f t="shared" si="2"/>
        <v>879851.60911305645</v>
      </c>
      <c r="AC6" s="20">
        <f t="shared" si="2"/>
        <v>1138254.2442156507</v>
      </c>
      <c r="AD6" s="20">
        <f t="shared" si="2"/>
        <v>1391391.6218631766</v>
      </c>
      <c r="AE6" s="20">
        <f t="shared" si="2"/>
        <v>1639371.0278658469</v>
      </c>
      <c r="AF6" s="20">
        <f t="shared" si="2"/>
        <v>1882297.5619593717</v>
      </c>
      <c r="AG6" s="20">
        <f t="shared" si="2"/>
        <v>2120274.1823487966</v>
      </c>
      <c r="AH6" s="20">
        <f t="shared" si="2"/>
        <v>2353401.7493447065</v>
      </c>
      <c r="AI6" s="20">
        <f t="shared" si="2"/>
        <v>2581779.0681102923</v>
      </c>
      <c r="AJ6" s="20">
        <f t="shared" si="2"/>
        <v>2805502.9305373942</v>
      </c>
      <c r="AK6" s="20">
        <f t="shared" si="2"/>
        <v>3082560.857405996</v>
      </c>
      <c r="AL6" s="20">
        <f t="shared" si="2"/>
        <v>3353973.4033195949</v>
      </c>
    </row>
    <row r="9" spans="1:38" ht="12.75">
      <c r="A9" s="1" t="s">
        <v>188</v>
      </c>
      <c r="B9" s="1" t="s">
        <v>189</v>
      </c>
      <c r="C9" s="14" t="s">
        <v>190</v>
      </c>
    </row>
    <row r="10" spans="1:38" ht="39" customHeight="1">
      <c r="A10" s="1" t="s">
        <v>191</v>
      </c>
      <c r="B10" s="21">
        <v>0.25</v>
      </c>
      <c r="C10" s="14" t="s">
        <v>192</v>
      </c>
    </row>
    <row r="11" spans="1:38" ht="39" customHeight="1">
      <c r="A11" s="1" t="s">
        <v>193</v>
      </c>
      <c r="B11" s="22">
        <f>AL6</f>
        <v>3353973.4033195949</v>
      </c>
      <c r="C11" s="14" t="s">
        <v>194</v>
      </c>
    </row>
    <row r="12" spans="1:38" ht="39.75" customHeight="1">
      <c r="A12" s="1" t="s">
        <v>195</v>
      </c>
      <c r="B12" s="21">
        <f>IRR(C5:AL5)</f>
        <v>5.7080063317147545E-2</v>
      </c>
      <c r="C12" s="14" t="s">
        <v>196</v>
      </c>
    </row>
    <row r="13" spans="1:38" ht="45.75" customHeight="1">
      <c r="A13" s="1" t="s">
        <v>197</v>
      </c>
      <c r="B13" s="23" t="s">
        <v>198</v>
      </c>
      <c r="C13" s="14" t="s">
        <v>199</v>
      </c>
    </row>
    <row r="14" spans="1:38" ht="38.25" customHeight="1">
      <c r="A14" s="1" t="s">
        <v>200</v>
      </c>
      <c r="B14" s="23">
        <f>(B11+Инвестиции!C5)/Инвестиции!C5</f>
        <v>5.7913905761708495</v>
      </c>
      <c r="C14" s="14" t="s">
        <v>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6"/>
  <sheetViews>
    <sheetView workbookViewId="0"/>
  </sheetViews>
  <sheetFormatPr defaultColWidth="12.5703125" defaultRowHeight="15.75" customHeight="1"/>
  <cols>
    <col min="1" max="1" width="25" customWidth="1"/>
  </cols>
  <sheetData>
    <row r="1" spans="1:4">
      <c r="A1" s="1" t="s">
        <v>202</v>
      </c>
      <c r="B1" s="1" t="s">
        <v>113</v>
      </c>
      <c r="C1" s="1" t="s">
        <v>203</v>
      </c>
      <c r="D1" s="1" t="s">
        <v>204</v>
      </c>
    </row>
    <row r="2" spans="1:4">
      <c r="A2" s="1" t="s">
        <v>205</v>
      </c>
      <c r="B2" s="1">
        <f>БДР!B18</f>
        <v>0</v>
      </c>
      <c r="C2" s="1">
        <f>БДР!C18</f>
        <v>13780000</v>
      </c>
      <c r="D2" s="1">
        <f>БДР!D18</f>
        <v>23400000.000000004</v>
      </c>
    </row>
    <row r="3" spans="1:4">
      <c r="A3" s="1" t="s">
        <v>206</v>
      </c>
      <c r="B3" s="1">
        <f>БДР!B32</f>
        <v>-767988</v>
      </c>
      <c r="C3" s="1">
        <f>БДР!C32</f>
        <v>2507500</v>
      </c>
      <c r="D3" s="1">
        <f>БДР!D32</f>
        <v>5729000</v>
      </c>
    </row>
    <row r="4" spans="1:4">
      <c r="A4" s="1" t="s">
        <v>207</v>
      </c>
      <c r="B4" s="24">
        <v>0</v>
      </c>
      <c r="C4" s="18">
        <f t="shared" ref="C4:D4" si="0">C3/C2</f>
        <v>0.18196661828737301</v>
      </c>
      <c r="D4" s="18">
        <f t="shared" si="0"/>
        <v>0.24482905982905978</v>
      </c>
    </row>
    <row r="5" spans="1:4">
      <c r="A5" s="1" t="s">
        <v>208</v>
      </c>
      <c r="B5" s="1">
        <f>SUM(ОДДС!C15:N15)</f>
        <v>-467988</v>
      </c>
      <c r="C5" s="1">
        <f>SUM(ОДДС!O15:Z15)</f>
        <v>2497000</v>
      </c>
      <c r="D5" s="1">
        <f>SUM(ОДДС!AA15:AL15)</f>
        <v>5729000.0000000009</v>
      </c>
    </row>
    <row r="6" spans="1:4">
      <c r="A6" s="1" t="s">
        <v>209</v>
      </c>
      <c r="B6" s="1">
        <f>SUM(Доходы!C3:N3)</f>
        <v>0</v>
      </c>
      <c r="C6" s="1">
        <f>SUM(Доходы!O3:Z3,Доходы!O7:Z7)</f>
        <v>453</v>
      </c>
      <c r="D6" s="1">
        <f>SUM(Доходы!AA3:AL3,Доходы!AA7:AL7)</f>
        <v>730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1"/>
  <sheetViews>
    <sheetView workbookViewId="0">
      <selection activeCell="E14" sqref="E14"/>
    </sheetView>
  </sheetViews>
  <sheetFormatPr defaultColWidth="12.5703125" defaultRowHeight="15.75" customHeight="1"/>
  <cols>
    <col min="1" max="1" width="22.5703125" customWidth="1"/>
    <col min="2" max="2" width="27.5703125" customWidth="1"/>
    <col min="3" max="3" width="18.7109375" customWidth="1"/>
    <col min="4" max="4" width="18.42578125" customWidth="1"/>
  </cols>
  <sheetData>
    <row r="1" spans="1:6">
      <c r="A1" s="17" t="s">
        <v>210</v>
      </c>
      <c r="B1" s="17" t="s">
        <v>211</v>
      </c>
      <c r="C1" s="17" t="s">
        <v>212</v>
      </c>
      <c r="D1" s="17" t="s">
        <v>213</v>
      </c>
    </row>
    <row r="2" spans="1:6">
      <c r="A2" s="17" t="s">
        <v>214</v>
      </c>
      <c r="B2" s="17" t="s">
        <v>215</v>
      </c>
      <c r="C2" s="17">
        <v>4874351</v>
      </c>
      <c r="D2" s="17" t="s">
        <v>216</v>
      </c>
    </row>
    <row r="3" spans="1:6">
      <c r="A3" s="17" t="s">
        <v>217</v>
      </c>
      <c r="B3" s="17" t="s">
        <v>218</v>
      </c>
      <c r="C3" s="25">
        <f>'Показатели эффективности'!B11</f>
        <v>3353973.4033195949</v>
      </c>
      <c r="D3" s="17" t="s">
        <v>219</v>
      </c>
    </row>
    <row r="4" spans="1:6">
      <c r="A4" s="17" t="s">
        <v>220</v>
      </c>
      <c r="B4" s="17" t="s">
        <v>221</v>
      </c>
      <c r="C4" s="17">
        <v>1830222</v>
      </c>
      <c r="D4" s="17" t="s">
        <v>222</v>
      </c>
    </row>
    <row r="11" spans="1:6">
      <c r="F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Инвестиции</vt:lpstr>
      <vt:lpstr>Доходы</vt:lpstr>
      <vt:lpstr>Расходы</vt:lpstr>
      <vt:lpstr>ФОТ</vt:lpstr>
      <vt:lpstr>БДР</vt:lpstr>
      <vt:lpstr>ОДДС</vt:lpstr>
      <vt:lpstr>Безубыточность</vt:lpstr>
      <vt:lpstr>Показатели эффективности</vt:lpstr>
      <vt:lpstr>Резюме</vt:lpstr>
      <vt:lpstr>Сценарии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Артем Колышкин</cp:lastModifiedBy>
  <dcterms:modified xsi:type="dcterms:W3CDTF">2026-06-26T20:08:32Z</dcterms:modified>
</cp:coreProperties>
</file>